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-fs-01v\bi\FG-Phytopatho\Julian Maier-OptiLyso\Publishing\Maier et al. 1\Submission Microbiological Research\Figures\Tables\"/>
    </mc:Choice>
  </mc:AlternateContent>
  <xr:revisionPtr revIDLastSave="0" documentId="13_ncr:1_{5890E9B3-0882-4FEE-AB26-B710319C9B06}" xr6:coauthVersionLast="47" xr6:coauthVersionMax="47" xr10:uidLastSave="{00000000-0000-0000-0000-000000000000}"/>
  <bookViews>
    <workbookView xWindow="-27240" yWindow="4245" windowWidth="21600" windowHeight="11385" activeTab="4" xr2:uid="{3CB548DC-E37F-441A-960A-174468B44E1A}"/>
  </bookViews>
  <sheets>
    <sheet name="4_dpi" sheetId="1" r:id="rId1"/>
    <sheet name="8_dpi" sheetId="2" r:id="rId2"/>
    <sheet name="17_dpi" sheetId="3" r:id="rId3"/>
    <sheet name="Summary" sheetId="4" r:id="rId4"/>
    <sheet name="TableS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5" l="1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M29" i="4"/>
  <c r="L31" i="4"/>
  <c r="M32" i="4"/>
  <c r="L38" i="4" l="1"/>
  <c r="L39" i="4"/>
  <c r="L40" i="4"/>
  <c r="M40" i="4" s="1"/>
  <c r="N40" i="4" s="1"/>
  <c r="L41" i="4"/>
  <c r="L37" i="4"/>
  <c r="M37" i="4" s="1"/>
  <c r="L35" i="4"/>
  <c r="M35" i="4" s="1"/>
  <c r="N35" i="4" s="1"/>
  <c r="L34" i="4"/>
  <c r="L33" i="4"/>
  <c r="L32" i="4"/>
  <c r="M23" i="4"/>
  <c r="L26" i="4"/>
  <c r="L25" i="4"/>
  <c r="L24" i="4"/>
  <c r="L23" i="4"/>
  <c r="L20" i="4"/>
  <c r="M20" i="4" s="1"/>
  <c r="L7" i="4"/>
  <c r="L6" i="4"/>
  <c r="L5" i="4"/>
  <c r="L4" i="4"/>
  <c r="L3" i="4"/>
  <c r="L2" i="4"/>
  <c r="L42" i="4"/>
  <c r="L8" i="4"/>
  <c r="L9" i="4"/>
  <c r="L10" i="4"/>
  <c r="L11" i="4"/>
  <c r="L12" i="4"/>
  <c r="L13" i="4"/>
  <c r="L14" i="4"/>
  <c r="L15" i="4"/>
  <c r="L16" i="4"/>
  <c r="L17" i="4"/>
  <c r="M17" i="4" s="1"/>
  <c r="L18" i="4"/>
  <c r="L19" i="4"/>
  <c r="L27" i="4"/>
  <c r="L28" i="4"/>
  <c r="L29" i="4"/>
  <c r="L43" i="4"/>
  <c r="M43" i="4" s="1"/>
  <c r="L44" i="4"/>
  <c r="N3" i="3"/>
  <c r="H23" i="3" s="1"/>
  <c r="N3" i="2"/>
  <c r="H23" i="2" s="1"/>
  <c r="N3" i="1"/>
  <c r="M26" i="4" l="1"/>
  <c r="N26" i="4" s="1"/>
  <c r="N29" i="4"/>
  <c r="N20" i="4"/>
  <c r="M8" i="4"/>
  <c r="N8" i="4" s="1"/>
  <c r="N37" i="4"/>
  <c r="N32" i="4"/>
  <c r="M14" i="4"/>
  <c r="N14" i="4" s="1"/>
  <c r="M11" i="4"/>
  <c r="N11" i="4" s="1"/>
  <c r="M2" i="4"/>
  <c r="N2" i="4" s="1"/>
  <c r="M5" i="4"/>
  <c r="N5" i="4" s="1"/>
  <c r="N43" i="4"/>
  <c r="N17" i="4"/>
  <c r="H15" i="1"/>
  <c r="H16" i="1"/>
  <c r="H2" i="1"/>
  <c r="H12" i="1"/>
  <c r="H11" i="1"/>
  <c r="H4" i="1"/>
  <c r="H13" i="1"/>
  <c r="H10" i="1"/>
  <c r="H5" i="1"/>
  <c r="H14" i="1"/>
  <c r="H9" i="1"/>
  <c r="H6" i="1"/>
  <c r="H3" i="1"/>
  <c r="H8" i="1"/>
  <c r="H7" i="1"/>
  <c r="H25" i="3"/>
  <c r="H28" i="3"/>
  <c r="H29" i="3"/>
  <c r="H18" i="3"/>
  <c r="H30" i="3"/>
  <c r="H19" i="3"/>
  <c r="H27" i="3"/>
  <c r="H31" i="3"/>
  <c r="H20" i="3"/>
  <c r="H21" i="3"/>
  <c r="H22" i="3"/>
  <c r="H24" i="3"/>
  <c r="H17" i="3"/>
  <c r="H26" i="3"/>
  <c r="H22" i="2"/>
  <c r="H21" i="2"/>
  <c r="H29" i="2"/>
  <c r="H28" i="2"/>
  <c r="H20" i="2"/>
  <c r="H19" i="2"/>
  <c r="H18" i="2"/>
  <c r="H26" i="2"/>
  <c r="H25" i="2"/>
  <c r="H24" i="2"/>
  <c r="H17" i="2"/>
  <c r="H27" i="2"/>
  <c r="N23" i="4" l="1"/>
</calcChain>
</file>

<file path=xl/sharedStrings.xml><?xml version="1.0" encoding="utf-8"?>
<sst xmlns="http://schemas.openxmlformats.org/spreadsheetml/2006/main" count="469" uniqueCount="29">
  <si>
    <t>Fungi</t>
  </si>
  <si>
    <t>Number</t>
  </si>
  <si>
    <t>Ctrl</t>
  </si>
  <si>
    <t>GR</t>
  </si>
  <si>
    <t>dpi</t>
  </si>
  <si>
    <t>Finished</t>
  </si>
  <si>
    <t>Medium</t>
  </si>
  <si>
    <t>NA/RA10%</t>
  </si>
  <si>
    <t>R. solani</t>
  </si>
  <si>
    <t>Bacteria</t>
  </si>
  <si>
    <t>LEC</t>
  </si>
  <si>
    <t>DSM 2043</t>
  </si>
  <si>
    <t>DSM 2044</t>
  </si>
  <si>
    <t>DSM 6980</t>
  </si>
  <si>
    <t>P. lingam</t>
  </si>
  <si>
    <t>P. infestans</t>
  </si>
  <si>
    <t>Start</t>
  </si>
  <si>
    <t>Heute</t>
  </si>
  <si>
    <t>cont.</t>
  </si>
  <si>
    <t>Cont</t>
  </si>
  <si>
    <t>n</t>
  </si>
  <si>
    <r>
      <t xml:space="preserve">NOTE: Only </t>
    </r>
    <r>
      <rPr>
        <i/>
        <sz val="11"/>
        <color theme="1"/>
        <rFont val="Aptos Narrow"/>
        <scheme val="minor"/>
      </rPr>
      <t>P. lingam</t>
    </r>
    <r>
      <rPr>
        <sz val="11"/>
        <color theme="1"/>
        <rFont val="Aptos Narrow"/>
        <family val="2"/>
        <scheme val="minor"/>
      </rPr>
      <t xml:space="preserve"> was assessed this day.</t>
    </r>
  </si>
  <si>
    <r>
      <t xml:space="preserve">NOTE: Only </t>
    </r>
    <r>
      <rPr>
        <i/>
        <sz val="11"/>
        <color theme="1"/>
        <rFont val="Aptos Narrow"/>
        <scheme val="minor"/>
      </rPr>
      <t>P. infestans</t>
    </r>
    <r>
      <rPr>
        <sz val="11"/>
        <color theme="1"/>
        <rFont val="Aptos Narrow"/>
        <family val="2"/>
        <scheme val="minor"/>
      </rPr>
      <t xml:space="preserve"> was assessed this day.</t>
    </r>
  </si>
  <si>
    <r>
      <t xml:space="preserve">NOTE: Only </t>
    </r>
    <r>
      <rPr>
        <i/>
        <sz val="11"/>
        <color theme="1"/>
        <rFont val="Aptos Narrow"/>
        <scheme val="minor"/>
      </rPr>
      <t>R. solani</t>
    </r>
    <r>
      <rPr>
        <sz val="11"/>
        <color theme="1"/>
        <rFont val="Aptos Narrow"/>
        <family val="2"/>
        <scheme val="minor"/>
      </rPr>
      <t xml:space="preserve"> was assessed this day.</t>
    </r>
  </si>
  <si>
    <t>Isolate</t>
  </si>
  <si>
    <t>L. enzymogenes</t>
  </si>
  <si>
    <t>L. antibioticus</t>
  </si>
  <si>
    <t>L. gummosus</t>
  </si>
  <si>
    <t>Growth reduction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</si>
</sst>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i/>
      <sz val="11"/>
      <color theme="1"/>
      <name val="Arial"/>
      <family val="2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Fill="1" applyBorder="1"/>
    <xf numFmtId="0" fontId="2" fillId="0" borderId="0" xfId="0" applyFont="1" applyBorder="1"/>
    <xf numFmtId="0" fontId="0" fillId="0" borderId="0" xfId="0" applyBorder="1"/>
    <xf numFmtId="14" fontId="0" fillId="0" borderId="0" xfId="0" applyNumberFormat="1"/>
    <xf numFmtId="0" fontId="2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0" borderId="1" xfId="0" applyFill="1" applyBorder="1"/>
    <xf numFmtId="0" fontId="4" fillId="0" borderId="1" xfId="0" applyFont="1" applyBorder="1"/>
    <xf numFmtId="2" fontId="0" fillId="0" borderId="0" xfId="0" applyNumberFormat="1"/>
    <xf numFmtId="164" fontId="0" fillId="0" borderId="0" xfId="0" applyNumberFormat="1"/>
    <xf numFmtId="0" fontId="1" fillId="0" borderId="1" xfId="0" applyFont="1" applyBorder="1"/>
    <xf numFmtId="0" fontId="1" fillId="0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Fill="1" applyBorder="1"/>
    <xf numFmtId="0" fontId="0" fillId="0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5" fillId="2" borderId="1" xfId="0" applyFont="1" applyFill="1" applyBorder="1"/>
    <xf numFmtId="0" fontId="5" fillId="0" borderId="0" xfId="0" applyFont="1"/>
    <xf numFmtId="0" fontId="7" fillId="0" borderId="1" xfId="0" applyFont="1" applyBorder="1"/>
    <xf numFmtId="0" fontId="7" fillId="2" borderId="1" xfId="0" applyFont="1" applyFill="1" applyBorder="1"/>
    <xf numFmtId="0" fontId="7" fillId="0" borderId="1" xfId="0" applyFont="1" applyFill="1" applyBorder="1"/>
    <xf numFmtId="0" fontId="7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1" fontId="0" fillId="0" borderId="1" xfId="0" applyNumberForma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EEED-B7FA-49A5-AE9F-DDC296CE25FD}">
  <dimension ref="A1:N60"/>
  <sheetViews>
    <sheetView workbookViewId="0">
      <selection activeCell="N10" sqref="N10"/>
    </sheetView>
  </sheetViews>
  <sheetFormatPr baseColWidth="10" defaultRowHeight="14.25"/>
  <cols>
    <col min="1" max="1" width="11" bestFit="1" customWidth="1"/>
    <col min="2" max="2" width="10.125" bestFit="1" customWidth="1"/>
    <col min="3" max="3" width="7.875" bestFit="1" customWidth="1"/>
    <col min="4" max="4" width="4.125" bestFit="1" customWidth="1"/>
    <col min="5" max="5" width="6.75" customWidth="1"/>
    <col min="6" max="6" width="6.25" customWidth="1"/>
    <col min="7" max="7" width="6.75" customWidth="1"/>
    <col min="8" max="8" width="3.625" bestFit="1" customWidth="1"/>
    <col min="9" max="9" width="8.5" bestFit="1" customWidth="1"/>
    <col min="10" max="10" width="9.875" bestFit="1" customWidth="1"/>
  </cols>
  <sheetData>
    <row r="1" spans="1:14" ht="15">
      <c r="A1" s="14" t="s">
        <v>0</v>
      </c>
      <c r="B1" s="14" t="s">
        <v>9</v>
      </c>
      <c r="C1" s="14" t="s">
        <v>1</v>
      </c>
      <c r="D1" s="14" t="s">
        <v>2</v>
      </c>
      <c r="E1" s="30" t="s">
        <v>3</v>
      </c>
      <c r="F1" s="30"/>
      <c r="G1" s="30"/>
      <c r="H1" s="14" t="s">
        <v>4</v>
      </c>
      <c r="I1" s="14" t="s">
        <v>5</v>
      </c>
      <c r="J1" s="14" t="s">
        <v>6</v>
      </c>
      <c r="K1" s="15" t="s">
        <v>19</v>
      </c>
    </row>
    <row r="2" spans="1:14">
      <c r="A2" s="1" t="s">
        <v>8</v>
      </c>
      <c r="B2" s="1" t="s">
        <v>2</v>
      </c>
      <c r="C2" s="2">
        <v>1</v>
      </c>
      <c r="D2" s="2">
        <v>1</v>
      </c>
      <c r="E2" s="2">
        <v>3.6</v>
      </c>
      <c r="F2" s="2">
        <v>3.6</v>
      </c>
      <c r="G2" s="2">
        <v>3.6</v>
      </c>
      <c r="H2" s="2">
        <f>N$3</f>
        <v>4</v>
      </c>
      <c r="I2" s="2">
        <v>1</v>
      </c>
      <c r="J2" s="2" t="s">
        <v>7</v>
      </c>
      <c r="K2" s="10">
        <v>0</v>
      </c>
      <c r="L2" t="s">
        <v>16</v>
      </c>
      <c r="M2" t="s">
        <v>17</v>
      </c>
      <c r="N2" t="s">
        <v>4</v>
      </c>
    </row>
    <row r="3" spans="1:14">
      <c r="A3" s="1" t="s">
        <v>8</v>
      </c>
      <c r="B3" s="1" t="s">
        <v>2</v>
      </c>
      <c r="C3" s="2">
        <v>2</v>
      </c>
      <c r="D3" s="2">
        <v>1</v>
      </c>
      <c r="E3" s="2">
        <v>3.6</v>
      </c>
      <c r="F3" s="2">
        <v>3.6</v>
      </c>
      <c r="G3" s="2">
        <v>3.6</v>
      </c>
      <c r="H3" s="2">
        <f t="shared" ref="H3:H16" si="0">N$3</f>
        <v>4</v>
      </c>
      <c r="I3" s="2">
        <v>1</v>
      </c>
      <c r="J3" s="2" t="s">
        <v>7</v>
      </c>
      <c r="K3" s="10">
        <v>0</v>
      </c>
      <c r="L3" s="6">
        <v>45950</v>
      </c>
      <c r="M3" s="6">
        <v>45954</v>
      </c>
      <c r="N3">
        <f>M3-L3</f>
        <v>4</v>
      </c>
    </row>
    <row r="4" spans="1:14">
      <c r="A4" s="1" t="s">
        <v>8</v>
      </c>
      <c r="B4" s="1" t="s">
        <v>2</v>
      </c>
      <c r="C4" s="2">
        <v>3</v>
      </c>
      <c r="D4" s="2">
        <v>1</v>
      </c>
      <c r="E4" s="2">
        <v>3.6</v>
      </c>
      <c r="F4" s="2">
        <v>3.6</v>
      </c>
      <c r="G4" s="2">
        <v>3.6</v>
      </c>
      <c r="H4" s="2">
        <f t="shared" si="0"/>
        <v>4</v>
      </c>
      <c r="I4" s="2">
        <v>1</v>
      </c>
      <c r="J4" s="2" t="s">
        <v>7</v>
      </c>
      <c r="K4" s="10">
        <v>0</v>
      </c>
    </row>
    <row r="5" spans="1:14">
      <c r="A5" s="1" t="s">
        <v>8</v>
      </c>
      <c r="B5" s="1" t="s">
        <v>10</v>
      </c>
      <c r="C5" s="2">
        <v>1</v>
      </c>
      <c r="D5" s="2">
        <v>0</v>
      </c>
      <c r="E5" s="2">
        <v>2.7</v>
      </c>
      <c r="F5" s="2">
        <v>3.4</v>
      </c>
      <c r="G5" s="2">
        <v>2.9</v>
      </c>
      <c r="H5" s="2">
        <f t="shared" si="0"/>
        <v>4</v>
      </c>
      <c r="I5" s="2">
        <v>0</v>
      </c>
      <c r="J5" s="2" t="s">
        <v>7</v>
      </c>
      <c r="K5" s="10">
        <v>0</v>
      </c>
      <c r="L5" t="s">
        <v>23</v>
      </c>
    </row>
    <row r="6" spans="1:14">
      <c r="A6" s="1" t="s">
        <v>8</v>
      </c>
      <c r="B6" s="1" t="s">
        <v>10</v>
      </c>
      <c r="C6" s="2">
        <v>2</v>
      </c>
      <c r="D6" s="2">
        <v>0</v>
      </c>
      <c r="E6" s="2">
        <v>3</v>
      </c>
      <c r="F6" s="2">
        <v>3.2</v>
      </c>
      <c r="G6" s="2">
        <v>3</v>
      </c>
      <c r="H6" s="2">
        <f t="shared" si="0"/>
        <v>4</v>
      </c>
      <c r="I6" s="2">
        <v>0</v>
      </c>
      <c r="J6" s="2" t="s">
        <v>7</v>
      </c>
      <c r="K6" s="10">
        <v>0</v>
      </c>
    </row>
    <row r="7" spans="1:14">
      <c r="A7" s="1" t="s">
        <v>8</v>
      </c>
      <c r="B7" s="1" t="s">
        <v>10</v>
      </c>
      <c r="C7" s="2">
        <v>3</v>
      </c>
      <c r="D7" s="2">
        <v>0</v>
      </c>
      <c r="E7" s="2">
        <v>3.9</v>
      </c>
      <c r="F7" s="2">
        <v>3.5</v>
      </c>
      <c r="G7" s="2">
        <v>3.4</v>
      </c>
      <c r="H7" s="2">
        <f t="shared" si="0"/>
        <v>4</v>
      </c>
      <c r="I7" s="2">
        <v>0</v>
      </c>
      <c r="J7" s="2" t="s">
        <v>7</v>
      </c>
      <c r="K7" s="10">
        <v>0</v>
      </c>
    </row>
    <row r="8" spans="1:14">
      <c r="A8" s="1" t="s">
        <v>8</v>
      </c>
      <c r="B8" s="3" t="s">
        <v>11</v>
      </c>
      <c r="C8" s="2">
        <v>1</v>
      </c>
      <c r="D8" s="2">
        <v>0</v>
      </c>
      <c r="E8" s="2">
        <v>3.6</v>
      </c>
      <c r="F8" s="2">
        <v>3.6</v>
      </c>
      <c r="G8" s="2">
        <v>3.6</v>
      </c>
      <c r="H8" s="2">
        <f t="shared" si="0"/>
        <v>4</v>
      </c>
      <c r="I8" s="2">
        <v>1</v>
      </c>
      <c r="J8" s="2" t="s">
        <v>7</v>
      </c>
      <c r="K8" s="10">
        <v>0</v>
      </c>
    </row>
    <row r="9" spans="1:14">
      <c r="A9" s="1" t="s">
        <v>8</v>
      </c>
      <c r="B9" s="3" t="s">
        <v>11</v>
      </c>
      <c r="C9" s="2">
        <v>2</v>
      </c>
      <c r="D9" s="2">
        <v>0</v>
      </c>
      <c r="E9" s="2">
        <v>3.5</v>
      </c>
      <c r="F9" s="2">
        <v>3.6</v>
      </c>
      <c r="G9" s="2">
        <v>3.6</v>
      </c>
      <c r="H9" s="2">
        <f t="shared" si="0"/>
        <v>4</v>
      </c>
      <c r="I9" s="2">
        <v>0</v>
      </c>
      <c r="J9" s="2" t="s">
        <v>7</v>
      </c>
      <c r="K9" s="10">
        <v>0</v>
      </c>
    </row>
    <row r="10" spans="1:14">
      <c r="A10" s="1" t="s">
        <v>8</v>
      </c>
      <c r="B10" s="3" t="s">
        <v>11</v>
      </c>
      <c r="C10" s="2">
        <v>3</v>
      </c>
      <c r="D10" s="2">
        <v>0</v>
      </c>
      <c r="E10" s="2">
        <v>3.4</v>
      </c>
      <c r="F10" s="2">
        <v>3.6</v>
      </c>
      <c r="G10" s="2">
        <v>3.5</v>
      </c>
      <c r="H10" s="2">
        <f t="shared" si="0"/>
        <v>4</v>
      </c>
      <c r="I10" s="2">
        <v>0</v>
      </c>
      <c r="J10" s="2" t="s">
        <v>7</v>
      </c>
      <c r="K10" s="10">
        <v>0</v>
      </c>
    </row>
    <row r="11" spans="1:14">
      <c r="A11" s="1" t="s">
        <v>8</v>
      </c>
      <c r="B11" s="1" t="s">
        <v>12</v>
      </c>
      <c r="C11" s="2">
        <v>1</v>
      </c>
      <c r="D11" s="2">
        <v>0</v>
      </c>
      <c r="E11" s="2">
        <v>3.6</v>
      </c>
      <c r="F11" s="2">
        <v>3.6</v>
      </c>
      <c r="G11" s="2">
        <v>3.6</v>
      </c>
      <c r="H11" s="2">
        <f t="shared" si="0"/>
        <v>4</v>
      </c>
      <c r="I11" s="2">
        <v>1</v>
      </c>
      <c r="J11" s="2" t="s">
        <v>7</v>
      </c>
      <c r="K11" s="10">
        <v>0</v>
      </c>
    </row>
    <row r="12" spans="1:14">
      <c r="A12" s="1" t="s">
        <v>8</v>
      </c>
      <c r="B12" s="1" t="s">
        <v>12</v>
      </c>
      <c r="C12" s="2">
        <v>2</v>
      </c>
      <c r="D12" s="2">
        <v>0</v>
      </c>
      <c r="E12" s="2">
        <v>3.6</v>
      </c>
      <c r="F12" s="2">
        <v>3.6</v>
      </c>
      <c r="G12" s="2">
        <v>3.6</v>
      </c>
      <c r="H12" s="2">
        <f t="shared" si="0"/>
        <v>4</v>
      </c>
      <c r="I12" s="2">
        <v>1</v>
      </c>
      <c r="J12" s="2" t="s">
        <v>7</v>
      </c>
      <c r="K12" s="10">
        <v>0</v>
      </c>
    </row>
    <row r="13" spans="1:14">
      <c r="A13" s="1" t="s">
        <v>8</v>
      </c>
      <c r="B13" s="1" t="s">
        <v>12</v>
      </c>
      <c r="C13" s="2">
        <v>3</v>
      </c>
      <c r="D13" s="2">
        <v>0</v>
      </c>
      <c r="E13" s="2">
        <v>3.6</v>
      </c>
      <c r="F13" s="2">
        <v>3.6</v>
      </c>
      <c r="G13" s="2">
        <v>3.6</v>
      </c>
      <c r="H13" s="2">
        <f t="shared" si="0"/>
        <v>4</v>
      </c>
      <c r="I13" s="2">
        <v>1</v>
      </c>
      <c r="J13" s="2" t="s">
        <v>7</v>
      </c>
      <c r="K13" s="10">
        <v>0</v>
      </c>
    </row>
    <row r="14" spans="1:14">
      <c r="A14" s="1" t="s">
        <v>8</v>
      </c>
      <c r="B14" s="1" t="s">
        <v>13</v>
      </c>
      <c r="C14" s="2">
        <v>1</v>
      </c>
      <c r="D14" s="2">
        <v>0</v>
      </c>
      <c r="E14" s="2">
        <v>3.6</v>
      </c>
      <c r="F14" s="2">
        <v>3.6</v>
      </c>
      <c r="G14" s="2">
        <v>3.6</v>
      </c>
      <c r="H14" s="2">
        <f t="shared" si="0"/>
        <v>4</v>
      </c>
      <c r="I14" s="2">
        <v>1</v>
      </c>
      <c r="J14" s="2" t="s">
        <v>7</v>
      </c>
      <c r="K14" s="10">
        <v>0</v>
      </c>
    </row>
    <row r="15" spans="1:14">
      <c r="A15" s="1" t="s">
        <v>8</v>
      </c>
      <c r="B15" s="1" t="s">
        <v>13</v>
      </c>
      <c r="C15" s="2">
        <v>2</v>
      </c>
      <c r="D15" s="2">
        <v>0</v>
      </c>
      <c r="E15" s="2">
        <v>3.6</v>
      </c>
      <c r="F15" s="2">
        <v>3.6</v>
      </c>
      <c r="G15" s="2">
        <v>3.6</v>
      </c>
      <c r="H15" s="2">
        <f t="shared" si="0"/>
        <v>4</v>
      </c>
      <c r="I15" s="2">
        <v>1</v>
      </c>
      <c r="J15" s="2" t="s">
        <v>7</v>
      </c>
      <c r="K15" s="10">
        <v>0</v>
      </c>
    </row>
    <row r="16" spans="1:14">
      <c r="A16" s="1" t="s">
        <v>8</v>
      </c>
      <c r="B16" s="1" t="s">
        <v>13</v>
      </c>
      <c r="C16" s="2">
        <v>3</v>
      </c>
      <c r="D16" s="2">
        <v>0</v>
      </c>
      <c r="E16" s="2">
        <v>3.6</v>
      </c>
      <c r="F16" s="2">
        <v>3.6</v>
      </c>
      <c r="G16" s="2">
        <v>3.6</v>
      </c>
      <c r="H16" s="2">
        <f t="shared" si="0"/>
        <v>4</v>
      </c>
      <c r="I16" s="2">
        <v>1</v>
      </c>
      <c r="J16" s="2" t="s">
        <v>7</v>
      </c>
      <c r="K16" s="10">
        <v>0</v>
      </c>
    </row>
    <row r="52" spans="1:10" ht="15" customHeight="1"/>
    <row r="55" spans="1:10">
      <c r="A55" s="4"/>
      <c r="B55" s="4"/>
      <c r="C55" s="5"/>
      <c r="D55" s="5"/>
      <c r="E55" s="5"/>
      <c r="F55" s="5"/>
      <c r="G55" s="5"/>
      <c r="H55" s="5"/>
      <c r="I55" s="5"/>
      <c r="J55" s="5"/>
    </row>
    <row r="56" spans="1:10">
      <c r="A56" s="4"/>
      <c r="B56" s="4"/>
      <c r="C56" s="5"/>
      <c r="D56" s="5"/>
      <c r="E56" s="5"/>
      <c r="F56" s="5"/>
      <c r="G56" s="5"/>
      <c r="H56" s="5"/>
      <c r="I56" s="5"/>
      <c r="J56" s="5"/>
    </row>
    <row r="57" spans="1:10">
      <c r="A57" s="4"/>
      <c r="B57" s="4"/>
      <c r="C57" s="5"/>
      <c r="D57" s="5"/>
      <c r="E57" s="5"/>
      <c r="F57" s="5"/>
      <c r="G57" s="5"/>
      <c r="H57" s="5"/>
      <c r="I57" s="5"/>
      <c r="J57" s="5"/>
    </row>
    <row r="58" spans="1:10">
      <c r="A58" s="4"/>
      <c r="B58" s="4"/>
      <c r="C58" s="5"/>
      <c r="D58" s="5"/>
      <c r="E58" s="5"/>
      <c r="F58" s="5"/>
      <c r="G58" s="5"/>
      <c r="H58" s="5"/>
      <c r="I58" s="5"/>
      <c r="J58" s="5"/>
    </row>
    <row r="59" spans="1:10">
      <c r="A59" s="4"/>
      <c r="B59" s="4"/>
      <c r="C59" s="5"/>
      <c r="D59" s="5"/>
      <c r="E59" s="5"/>
      <c r="F59" s="5"/>
      <c r="G59" s="5"/>
      <c r="H59" s="5"/>
      <c r="I59" s="5"/>
      <c r="J59" s="5"/>
    </row>
    <row r="60" spans="1:10">
      <c r="A60" s="4"/>
      <c r="B60" s="4"/>
      <c r="C60" s="5"/>
      <c r="D60" s="5"/>
      <c r="E60" s="5"/>
      <c r="F60" s="5"/>
      <c r="G60" s="5"/>
      <c r="H60" s="5"/>
      <c r="I60" s="5"/>
      <c r="J60" s="5"/>
    </row>
  </sheetData>
  <mergeCells count="1">
    <mergeCell ref="E1:G1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6326-72A3-447C-B7D3-0633C9CFB8BC}">
  <dimension ref="A1:N52"/>
  <sheetViews>
    <sheetView workbookViewId="0">
      <selection activeCell="C27" sqref="C27"/>
    </sheetView>
  </sheetViews>
  <sheetFormatPr baseColWidth="10" defaultRowHeight="14.25"/>
  <cols>
    <col min="1" max="1" width="11" bestFit="1" customWidth="1"/>
    <col min="2" max="2" width="10.125" bestFit="1" customWidth="1"/>
    <col min="3" max="3" width="7.875" bestFit="1" customWidth="1"/>
    <col min="4" max="4" width="4.125" bestFit="1" customWidth="1"/>
    <col min="5" max="5" width="6.75" customWidth="1"/>
    <col min="6" max="6" width="6.25" customWidth="1"/>
    <col min="7" max="7" width="6.75" customWidth="1"/>
    <col min="8" max="8" width="3.625" bestFit="1" customWidth="1"/>
    <col min="9" max="9" width="8.5" bestFit="1" customWidth="1"/>
    <col min="10" max="10" width="9.875" bestFit="1" customWidth="1"/>
  </cols>
  <sheetData>
    <row r="1" spans="1:14" ht="15">
      <c r="A1" s="14" t="s">
        <v>0</v>
      </c>
      <c r="B1" s="14" t="s">
        <v>9</v>
      </c>
      <c r="C1" s="14" t="s">
        <v>1</v>
      </c>
      <c r="D1" s="14" t="s">
        <v>2</v>
      </c>
      <c r="E1" s="30" t="s">
        <v>3</v>
      </c>
      <c r="F1" s="30"/>
      <c r="G1" s="30"/>
      <c r="H1" s="14" t="s">
        <v>4</v>
      </c>
      <c r="I1" s="14" t="s">
        <v>5</v>
      </c>
      <c r="J1" s="14" t="s">
        <v>6</v>
      </c>
      <c r="K1" s="15" t="s">
        <v>19</v>
      </c>
    </row>
    <row r="2" spans="1:14">
      <c r="A2" s="1" t="s">
        <v>8</v>
      </c>
      <c r="B2" s="1" t="s">
        <v>2</v>
      </c>
      <c r="C2" s="2">
        <v>1</v>
      </c>
      <c r="D2" s="2">
        <v>1</v>
      </c>
      <c r="E2" s="2">
        <v>3.6</v>
      </c>
      <c r="F2" s="2">
        <v>3.6</v>
      </c>
      <c r="G2" s="2">
        <v>3.6</v>
      </c>
      <c r="H2" s="2">
        <v>4</v>
      </c>
      <c r="I2" s="2">
        <v>1</v>
      </c>
      <c r="J2" s="2" t="s">
        <v>7</v>
      </c>
      <c r="K2" s="10">
        <v>0</v>
      </c>
      <c r="L2" t="s">
        <v>16</v>
      </c>
      <c r="M2" t="s">
        <v>17</v>
      </c>
      <c r="N2" t="s">
        <v>4</v>
      </c>
    </row>
    <row r="3" spans="1:14">
      <c r="A3" s="1" t="s">
        <v>8</v>
      </c>
      <c r="B3" s="1" t="s">
        <v>2</v>
      </c>
      <c r="C3" s="2">
        <v>2</v>
      </c>
      <c r="D3" s="2">
        <v>1</v>
      </c>
      <c r="E3" s="2">
        <v>3.6</v>
      </c>
      <c r="F3" s="2">
        <v>3.6</v>
      </c>
      <c r="G3" s="2">
        <v>3.6</v>
      </c>
      <c r="H3" s="2">
        <v>4</v>
      </c>
      <c r="I3" s="2">
        <v>1</v>
      </c>
      <c r="J3" s="2" t="s">
        <v>7</v>
      </c>
      <c r="K3" s="10">
        <v>0</v>
      </c>
      <c r="L3" s="6">
        <v>45950</v>
      </c>
      <c r="M3" s="6">
        <v>45958</v>
      </c>
      <c r="N3">
        <f>M3-L3</f>
        <v>8</v>
      </c>
    </row>
    <row r="4" spans="1:14">
      <c r="A4" s="1" t="s">
        <v>8</v>
      </c>
      <c r="B4" s="1" t="s">
        <v>2</v>
      </c>
      <c r="C4" s="2">
        <v>3</v>
      </c>
      <c r="D4" s="2">
        <v>1</v>
      </c>
      <c r="E4" s="2">
        <v>3.6</v>
      </c>
      <c r="F4" s="2">
        <v>3.6</v>
      </c>
      <c r="G4" s="2">
        <v>3.6</v>
      </c>
      <c r="H4" s="2">
        <v>4</v>
      </c>
      <c r="I4" s="2">
        <v>1</v>
      </c>
      <c r="J4" s="2" t="s">
        <v>7</v>
      </c>
      <c r="K4" s="10">
        <v>0</v>
      </c>
    </row>
    <row r="5" spans="1:14">
      <c r="A5" s="1" t="s">
        <v>8</v>
      </c>
      <c r="B5" s="1" t="s">
        <v>10</v>
      </c>
      <c r="C5" s="2">
        <v>1</v>
      </c>
      <c r="D5" s="2">
        <v>0</v>
      </c>
      <c r="E5" s="2">
        <v>2.7</v>
      </c>
      <c r="F5" s="2">
        <v>3.4</v>
      </c>
      <c r="G5" s="2">
        <v>2.9</v>
      </c>
      <c r="H5" s="2">
        <v>4</v>
      </c>
      <c r="I5" s="2">
        <v>0</v>
      </c>
      <c r="J5" s="2" t="s">
        <v>7</v>
      </c>
      <c r="K5" s="10">
        <v>0</v>
      </c>
      <c r="L5" t="s">
        <v>22</v>
      </c>
    </row>
    <row r="6" spans="1:14">
      <c r="A6" s="1" t="s">
        <v>8</v>
      </c>
      <c r="B6" s="1" t="s">
        <v>10</v>
      </c>
      <c r="C6" s="2">
        <v>2</v>
      </c>
      <c r="D6" s="2">
        <v>0</v>
      </c>
      <c r="E6" s="2">
        <v>3</v>
      </c>
      <c r="F6" s="2">
        <v>3.2</v>
      </c>
      <c r="G6" s="2">
        <v>3</v>
      </c>
      <c r="H6" s="2">
        <v>4</v>
      </c>
      <c r="I6" s="2">
        <v>0</v>
      </c>
      <c r="J6" s="2" t="s">
        <v>7</v>
      </c>
      <c r="K6" s="10">
        <v>0</v>
      </c>
    </row>
    <row r="7" spans="1:14">
      <c r="A7" s="1" t="s">
        <v>8</v>
      </c>
      <c r="B7" s="1" t="s">
        <v>10</v>
      </c>
      <c r="C7" s="2">
        <v>3</v>
      </c>
      <c r="D7" s="2">
        <v>0</v>
      </c>
      <c r="E7" s="2">
        <v>3.9</v>
      </c>
      <c r="F7" s="2">
        <v>3.5</v>
      </c>
      <c r="G7" s="2">
        <v>3.4</v>
      </c>
      <c r="H7" s="2">
        <v>4</v>
      </c>
      <c r="I7" s="2">
        <v>0</v>
      </c>
      <c r="J7" s="2" t="s">
        <v>7</v>
      </c>
      <c r="K7" s="10">
        <v>0</v>
      </c>
    </row>
    <row r="8" spans="1:14">
      <c r="A8" s="1" t="s">
        <v>8</v>
      </c>
      <c r="B8" s="3" t="s">
        <v>11</v>
      </c>
      <c r="C8" s="2">
        <v>1</v>
      </c>
      <c r="D8" s="2">
        <v>0</v>
      </c>
      <c r="E8" s="2">
        <v>3.6</v>
      </c>
      <c r="F8" s="2">
        <v>3.6</v>
      </c>
      <c r="G8" s="2">
        <v>3.6</v>
      </c>
      <c r="H8" s="2">
        <v>4</v>
      </c>
      <c r="I8" s="2">
        <v>1</v>
      </c>
      <c r="J8" s="2" t="s">
        <v>7</v>
      </c>
      <c r="K8" s="10">
        <v>0</v>
      </c>
    </row>
    <row r="9" spans="1:14">
      <c r="A9" s="1" t="s">
        <v>8</v>
      </c>
      <c r="B9" s="3" t="s">
        <v>11</v>
      </c>
      <c r="C9" s="2">
        <v>2</v>
      </c>
      <c r="D9" s="2">
        <v>0</v>
      </c>
      <c r="E9" s="2">
        <v>3.5</v>
      </c>
      <c r="F9" s="2">
        <v>3.6</v>
      </c>
      <c r="G9" s="2">
        <v>3.6</v>
      </c>
      <c r="H9" s="2">
        <v>4</v>
      </c>
      <c r="I9" s="2">
        <v>0</v>
      </c>
      <c r="J9" s="2" t="s">
        <v>7</v>
      </c>
      <c r="K9" s="10">
        <v>0</v>
      </c>
    </row>
    <row r="10" spans="1:14">
      <c r="A10" s="1" t="s">
        <v>8</v>
      </c>
      <c r="B10" s="3" t="s">
        <v>11</v>
      </c>
      <c r="C10" s="2">
        <v>3</v>
      </c>
      <c r="D10" s="2">
        <v>0</v>
      </c>
      <c r="E10" s="2">
        <v>3.4</v>
      </c>
      <c r="F10" s="2">
        <v>3.6</v>
      </c>
      <c r="G10" s="2">
        <v>3.5</v>
      </c>
      <c r="H10" s="2">
        <v>4</v>
      </c>
      <c r="I10" s="2">
        <v>0</v>
      </c>
      <c r="J10" s="2" t="s">
        <v>7</v>
      </c>
      <c r="K10" s="10">
        <v>0</v>
      </c>
    </row>
    <row r="11" spans="1:14">
      <c r="A11" s="1" t="s">
        <v>8</v>
      </c>
      <c r="B11" s="1" t="s">
        <v>12</v>
      </c>
      <c r="C11" s="2">
        <v>1</v>
      </c>
      <c r="D11" s="2">
        <v>0</v>
      </c>
      <c r="E11" s="2">
        <v>3.6</v>
      </c>
      <c r="F11" s="2">
        <v>3.6</v>
      </c>
      <c r="G11" s="2">
        <v>3.6</v>
      </c>
      <c r="H11" s="2">
        <v>4</v>
      </c>
      <c r="I11" s="2">
        <v>1</v>
      </c>
      <c r="J11" s="2" t="s">
        <v>7</v>
      </c>
      <c r="K11" s="10">
        <v>0</v>
      </c>
    </row>
    <row r="12" spans="1:14">
      <c r="A12" s="1" t="s">
        <v>8</v>
      </c>
      <c r="B12" s="1" t="s">
        <v>12</v>
      </c>
      <c r="C12" s="2">
        <v>2</v>
      </c>
      <c r="D12" s="2">
        <v>0</v>
      </c>
      <c r="E12" s="2">
        <v>3.6</v>
      </c>
      <c r="F12" s="2">
        <v>3.6</v>
      </c>
      <c r="G12" s="2">
        <v>3.6</v>
      </c>
      <c r="H12" s="2">
        <v>4</v>
      </c>
      <c r="I12" s="2">
        <v>1</v>
      </c>
      <c r="J12" s="2" t="s">
        <v>7</v>
      </c>
      <c r="K12" s="10">
        <v>0</v>
      </c>
    </row>
    <row r="13" spans="1:14">
      <c r="A13" s="1" t="s">
        <v>8</v>
      </c>
      <c r="B13" s="1" t="s">
        <v>12</v>
      </c>
      <c r="C13" s="2">
        <v>3</v>
      </c>
      <c r="D13" s="2">
        <v>0</v>
      </c>
      <c r="E13" s="2">
        <v>3.6</v>
      </c>
      <c r="F13" s="2">
        <v>3.6</v>
      </c>
      <c r="G13" s="2">
        <v>3.6</v>
      </c>
      <c r="H13" s="2">
        <v>4</v>
      </c>
      <c r="I13" s="2">
        <v>1</v>
      </c>
      <c r="J13" s="2" t="s">
        <v>7</v>
      </c>
      <c r="K13" s="10">
        <v>0</v>
      </c>
    </row>
    <row r="14" spans="1:14">
      <c r="A14" s="1" t="s">
        <v>8</v>
      </c>
      <c r="B14" s="1" t="s">
        <v>13</v>
      </c>
      <c r="C14" s="2">
        <v>1</v>
      </c>
      <c r="D14" s="2">
        <v>0</v>
      </c>
      <c r="E14" s="2">
        <v>3.6</v>
      </c>
      <c r="F14" s="2">
        <v>3.6</v>
      </c>
      <c r="G14" s="2">
        <v>3.6</v>
      </c>
      <c r="H14" s="2">
        <v>4</v>
      </c>
      <c r="I14" s="2">
        <v>1</v>
      </c>
      <c r="J14" s="2" t="s">
        <v>7</v>
      </c>
      <c r="K14" s="10">
        <v>0</v>
      </c>
    </row>
    <row r="15" spans="1:14">
      <c r="A15" s="1" t="s">
        <v>8</v>
      </c>
      <c r="B15" s="1" t="s">
        <v>13</v>
      </c>
      <c r="C15" s="2">
        <v>2</v>
      </c>
      <c r="D15" s="2">
        <v>0</v>
      </c>
      <c r="E15" s="2">
        <v>3.6</v>
      </c>
      <c r="F15" s="2">
        <v>3.6</v>
      </c>
      <c r="G15" s="2">
        <v>3.6</v>
      </c>
      <c r="H15" s="2">
        <v>4</v>
      </c>
      <c r="I15" s="2">
        <v>1</v>
      </c>
      <c r="J15" s="2" t="s">
        <v>7</v>
      </c>
      <c r="K15" s="10">
        <v>0</v>
      </c>
    </row>
    <row r="16" spans="1:14">
      <c r="A16" s="1" t="s">
        <v>8</v>
      </c>
      <c r="B16" s="1" t="s">
        <v>13</v>
      </c>
      <c r="C16" s="2">
        <v>3</v>
      </c>
      <c r="D16" s="2">
        <v>0</v>
      </c>
      <c r="E16" s="2">
        <v>3.6</v>
      </c>
      <c r="F16" s="2">
        <v>3.6</v>
      </c>
      <c r="G16" s="2">
        <v>3.6</v>
      </c>
      <c r="H16" s="2">
        <v>4</v>
      </c>
      <c r="I16" s="2">
        <v>1</v>
      </c>
      <c r="J16" s="2" t="s">
        <v>7</v>
      </c>
      <c r="K16" s="10">
        <v>0</v>
      </c>
    </row>
    <row r="17" spans="1:11">
      <c r="A17" s="1" t="s">
        <v>15</v>
      </c>
      <c r="B17" s="1" t="s">
        <v>2</v>
      </c>
      <c r="C17" s="2">
        <v>1</v>
      </c>
      <c r="D17" s="2">
        <v>1</v>
      </c>
      <c r="E17" s="2">
        <v>3.8</v>
      </c>
      <c r="F17" s="2">
        <v>3.8</v>
      </c>
      <c r="G17" s="2">
        <v>3.8</v>
      </c>
      <c r="H17" s="2">
        <f>N$3</f>
        <v>8</v>
      </c>
      <c r="I17" s="2">
        <v>1</v>
      </c>
      <c r="J17" s="2" t="s">
        <v>7</v>
      </c>
      <c r="K17" s="10">
        <v>0</v>
      </c>
    </row>
    <row r="18" spans="1:11">
      <c r="A18" s="1" t="s">
        <v>15</v>
      </c>
      <c r="B18" s="1" t="s">
        <v>2</v>
      </c>
      <c r="C18" s="2">
        <v>2</v>
      </c>
      <c r="D18" s="2">
        <v>1</v>
      </c>
      <c r="E18" s="2">
        <v>3.8</v>
      </c>
      <c r="F18" s="2">
        <v>3.8</v>
      </c>
      <c r="G18" s="2">
        <v>3.8</v>
      </c>
      <c r="H18" s="2">
        <f t="shared" ref="H18:H29" si="0">N$3</f>
        <v>8</v>
      </c>
      <c r="I18" s="2">
        <v>1</v>
      </c>
      <c r="J18" s="2" t="s">
        <v>7</v>
      </c>
      <c r="K18" s="10">
        <v>0</v>
      </c>
    </row>
    <row r="19" spans="1:11">
      <c r="A19" s="1" t="s">
        <v>15</v>
      </c>
      <c r="B19" s="1" t="s">
        <v>2</v>
      </c>
      <c r="C19" s="2">
        <v>3</v>
      </c>
      <c r="D19" s="2">
        <v>1</v>
      </c>
      <c r="E19" s="2">
        <v>3.8</v>
      </c>
      <c r="F19" s="2">
        <v>3.8</v>
      </c>
      <c r="G19" s="2">
        <v>3.8</v>
      </c>
      <c r="H19" s="2">
        <f t="shared" si="0"/>
        <v>8</v>
      </c>
      <c r="I19" s="2">
        <v>1</v>
      </c>
      <c r="J19" s="2" t="s">
        <v>7</v>
      </c>
      <c r="K19" s="10">
        <v>0</v>
      </c>
    </row>
    <row r="20" spans="1:11">
      <c r="A20" s="1" t="s">
        <v>15</v>
      </c>
      <c r="B20" s="1" t="s">
        <v>10</v>
      </c>
      <c r="C20" s="2">
        <v>1</v>
      </c>
      <c r="D20" s="2">
        <v>0</v>
      </c>
      <c r="E20" s="2">
        <v>0.3</v>
      </c>
      <c r="F20" s="2">
        <v>0.3</v>
      </c>
      <c r="G20" s="2">
        <v>0.3</v>
      </c>
      <c r="H20" s="2">
        <f t="shared" si="0"/>
        <v>8</v>
      </c>
      <c r="I20" s="2">
        <v>0</v>
      </c>
      <c r="J20" s="2" t="s">
        <v>7</v>
      </c>
      <c r="K20" s="10">
        <v>0</v>
      </c>
    </row>
    <row r="21" spans="1:11">
      <c r="A21" s="7" t="s">
        <v>15</v>
      </c>
      <c r="B21" s="7" t="s">
        <v>10</v>
      </c>
      <c r="C21" s="8">
        <v>2</v>
      </c>
      <c r="D21" s="8">
        <v>0</v>
      </c>
      <c r="E21" s="8"/>
      <c r="F21" s="8"/>
      <c r="G21" s="8"/>
      <c r="H21" s="8">
        <f t="shared" si="0"/>
        <v>8</v>
      </c>
      <c r="I21" s="8"/>
      <c r="J21" s="8" t="s">
        <v>7</v>
      </c>
      <c r="K21" s="10">
        <v>1</v>
      </c>
    </row>
    <row r="22" spans="1:11">
      <c r="A22" s="1" t="s">
        <v>15</v>
      </c>
      <c r="B22" s="3" t="s">
        <v>11</v>
      </c>
      <c r="C22" s="2">
        <v>1</v>
      </c>
      <c r="D22" s="2">
        <v>0</v>
      </c>
      <c r="E22" s="2">
        <v>0.3</v>
      </c>
      <c r="F22" s="2">
        <v>0.3</v>
      </c>
      <c r="G22" s="2">
        <v>0.3</v>
      </c>
      <c r="H22" s="2">
        <f t="shared" si="0"/>
        <v>8</v>
      </c>
      <c r="I22" s="2">
        <v>0</v>
      </c>
      <c r="J22" s="2" t="s">
        <v>7</v>
      </c>
      <c r="K22" s="10">
        <v>0</v>
      </c>
    </row>
    <row r="23" spans="1:11">
      <c r="A23" s="1" t="s">
        <v>15</v>
      </c>
      <c r="B23" s="3" t="s">
        <v>11</v>
      </c>
      <c r="C23" s="2">
        <v>2</v>
      </c>
      <c r="D23" s="2">
        <v>0</v>
      </c>
      <c r="E23" s="2">
        <v>0.3</v>
      </c>
      <c r="F23" s="2">
        <v>0.3</v>
      </c>
      <c r="G23" s="2">
        <v>0.3</v>
      </c>
      <c r="H23" s="2">
        <f t="shared" si="0"/>
        <v>8</v>
      </c>
      <c r="I23" s="2">
        <v>0</v>
      </c>
      <c r="J23" s="2" t="s">
        <v>7</v>
      </c>
      <c r="K23" s="10">
        <v>0</v>
      </c>
    </row>
    <row r="24" spans="1:11">
      <c r="A24" s="1" t="s">
        <v>15</v>
      </c>
      <c r="B24" s="3" t="s">
        <v>11</v>
      </c>
      <c r="C24" s="2">
        <v>3</v>
      </c>
      <c r="D24" s="2">
        <v>0</v>
      </c>
      <c r="E24" s="2">
        <v>0.3</v>
      </c>
      <c r="F24" s="2">
        <v>0.3</v>
      </c>
      <c r="G24" s="2">
        <v>0.3</v>
      </c>
      <c r="H24" s="2">
        <f t="shared" si="0"/>
        <v>8</v>
      </c>
      <c r="I24" s="2">
        <v>0</v>
      </c>
      <c r="J24" s="2" t="s">
        <v>7</v>
      </c>
      <c r="K24" s="10">
        <v>0</v>
      </c>
    </row>
    <row r="25" spans="1:11">
      <c r="A25" s="1" t="s">
        <v>15</v>
      </c>
      <c r="B25" s="1" t="s">
        <v>12</v>
      </c>
      <c r="C25" s="2">
        <v>1</v>
      </c>
      <c r="D25" s="2">
        <v>0</v>
      </c>
      <c r="E25" s="2">
        <v>0.4</v>
      </c>
      <c r="F25" s="2">
        <v>0.4</v>
      </c>
      <c r="G25" s="2">
        <v>0.4</v>
      </c>
      <c r="H25" s="2">
        <f t="shared" si="0"/>
        <v>8</v>
      </c>
      <c r="I25" s="2">
        <v>0</v>
      </c>
      <c r="J25" s="2" t="s">
        <v>7</v>
      </c>
      <c r="K25" s="10">
        <v>0</v>
      </c>
    </row>
    <row r="26" spans="1:11">
      <c r="A26" s="1" t="s">
        <v>15</v>
      </c>
      <c r="B26" s="1" t="s">
        <v>12</v>
      </c>
      <c r="C26" s="2">
        <v>2</v>
      </c>
      <c r="D26" s="2">
        <v>0</v>
      </c>
      <c r="E26" s="2">
        <v>0.4</v>
      </c>
      <c r="F26" s="2">
        <v>0.4</v>
      </c>
      <c r="G26" s="2">
        <v>0.4</v>
      </c>
      <c r="H26" s="2">
        <f t="shared" si="0"/>
        <v>8</v>
      </c>
      <c r="I26" s="2">
        <v>0</v>
      </c>
      <c r="J26" s="2" t="s">
        <v>7</v>
      </c>
      <c r="K26" s="10">
        <v>0</v>
      </c>
    </row>
    <row r="27" spans="1:11">
      <c r="A27" s="1" t="s">
        <v>15</v>
      </c>
      <c r="B27" s="1" t="s">
        <v>12</v>
      </c>
      <c r="C27" s="2">
        <v>3</v>
      </c>
      <c r="D27" s="2">
        <v>0</v>
      </c>
      <c r="E27" s="2">
        <v>0.4</v>
      </c>
      <c r="F27" s="2">
        <v>0.4</v>
      </c>
      <c r="G27" s="2">
        <v>0.4</v>
      </c>
      <c r="H27" s="2">
        <f t="shared" si="0"/>
        <v>8</v>
      </c>
      <c r="I27" s="2">
        <v>0</v>
      </c>
      <c r="J27" s="2" t="s">
        <v>7</v>
      </c>
      <c r="K27" s="10">
        <v>0</v>
      </c>
    </row>
    <row r="28" spans="1:11">
      <c r="A28" s="1" t="s">
        <v>15</v>
      </c>
      <c r="B28" s="1" t="s">
        <v>13</v>
      </c>
      <c r="C28" s="2">
        <v>1</v>
      </c>
      <c r="D28" s="2">
        <v>0</v>
      </c>
      <c r="E28" s="2">
        <v>0.4</v>
      </c>
      <c r="F28" s="2">
        <v>0.4</v>
      </c>
      <c r="G28" s="2">
        <v>0.4</v>
      </c>
      <c r="H28" s="2">
        <f t="shared" si="0"/>
        <v>8</v>
      </c>
      <c r="I28" s="2">
        <v>0</v>
      </c>
      <c r="J28" s="2" t="s">
        <v>7</v>
      </c>
      <c r="K28" s="10">
        <v>0</v>
      </c>
    </row>
    <row r="29" spans="1:11">
      <c r="A29" s="1" t="s">
        <v>15</v>
      </c>
      <c r="B29" s="1" t="s">
        <v>13</v>
      </c>
      <c r="C29" s="2">
        <v>2</v>
      </c>
      <c r="D29" s="2">
        <v>0</v>
      </c>
      <c r="E29" s="2">
        <v>0.4</v>
      </c>
      <c r="F29" s="2">
        <v>0.4</v>
      </c>
      <c r="G29" s="2">
        <v>0.4</v>
      </c>
      <c r="H29" s="2">
        <f t="shared" si="0"/>
        <v>8</v>
      </c>
      <c r="I29" s="2">
        <v>0</v>
      </c>
      <c r="J29" s="2" t="s">
        <v>7</v>
      </c>
      <c r="K29" s="10">
        <v>0</v>
      </c>
    </row>
    <row r="30" spans="1:11">
      <c r="A30" s="4"/>
      <c r="B30" s="4"/>
      <c r="C30" s="5"/>
      <c r="D30" s="5"/>
      <c r="E30" s="5"/>
      <c r="F30" s="5"/>
      <c r="G30" s="5"/>
      <c r="H30" s="5"/>
      <c r="I30" s="5"/>
      <c r="J30" s="5"/>
    </row>
    <row r="31" spans="1:11">
      <c r="A31" s="4"/>
      <c r="B31" s="4"/>
      <c r="C31" s="5"/>
      <c r="D31" s="5"/>
      <c r="E31" s="5"/>
      <c r="F31" s="5"/>
      <c r="G31" s="5"/>
      <c r="H31" s="5"/>
      <c r="I31" s="5"/>
      <c r="J31" s="5"/>
    </row>
    <row r="32" spans="1:11">
      <c r="A32" s="4"/>
      <c r="B32" s="4"/>
      <c r="C32" s="5"/>
      <c r="D32" s="5"/>
      <c r="E32" s="5"/>
      <c r="F32" s="5"/>
      <c r="G32" s="5"/>
      <c r="H32" s="5"/>
      <c r="I32" s="5"/>
      <c r="J32" s="5"/>
      <c r="K32" s="9" t="s">
        <v>18</v>
      </c>
    </row>
    <row r="33" spans="1:10">
      <c r="A33" s="4"/>
      <c r="B33" s="4"/>
      <c r="C33" s="5"/>
      <c r="D33" s="5"/>
      <c r="E33" s="5"/>
      <c r="F33" s="5"/>
      <c r="G33" s="5"/>
      <c r="H33" s="5"/>
      <c r="I33" s="5"/>
      <c r="J33" s="5"/>
    </row>
    <row r="34" spans="1:10">
      <c r="A34" s="4"/>
      <c r="B34" s="4"/>
      <c r="C34" s="5"/>
      <c r="D34" s="5"/>
      <c r="E34" s="5"/>
      <c r="F34" s="5"/>
      <c r="G34" s="5"/>
      <c r="H34" s="5"/>
      <c r="I34" s="5"/>
      <c r="J34" s="5"/>
    </row>
    <row r="35" spans="1:10">
      <c r="A35" s="4"/>
      <c r="B35" s="4"/>
      <c r="C35" s="5"/>
      <c r="D35" s="5"/>
      <c r="E35" s="5"/>
      <c r="F35" s="5"/>
      <c r="G35" s="5"/>
      <c r="H35" s="5"/>
      <c r="I35" s="5"/>
      <c r="J35" s="5"/>
    </row>
    <row r="52" ht="15" customHeight="1"/>
  </sheetData>
  <mergeCells count="1">
    <mergeCell ref="E1:G1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9630-525F-4068-9C4E-DB3B3660AB17}">
  <dimension ref="A1:N52"/>
  <sheetViews>
    <sheetView topLeftCell="A18" workbookViewId="0">
      <selection activeCell="M15" sqref="M15"/>
    </sheetView>
  </sheetViews>
  <sheetFormatPr baseColWidth="10" defaultRowHeight="14.25"/>
  <cols>
    <col min="2" max="2" width="10.125" bestFit="1" customWidth="1"/>
    <col min="3" max="3" width="7.875" bestFit="1" customWidth="1"/>
    <col min="4" max="4" width="4.125" bestFit="1" customWidth="1"/>
    <col min="5" max="5" width="6.75" customWidth="1"/>
    <col min="6" max="6" width="6.25" customWidth="1"/>
    <col min="7" max="7" width="6.75" customWidth="1"/>
    <col min="8" max="8" width="3.625" bestFit="1" customWidth="1"/>
    <col min="9" max="9" width="8.5" bestFit="1" customWidth="1"/>
    <col min="10" max="10" width="9.875" bestFit="1" customWidth="1"/>
  </cols>
  <sheetData>
    <row r="1" spans="1:14" ht="15">
      <c r="A1" s="14" t="s">
        <v>0</v>
      </c>
      <c r="B1" s="14" t="s">
        <v>9</v>
      </c>
      <c r="C1" s="14" t="s">
        <v>1</v>
      </c>
      <c r="D1" s="14" t="s">
        <v>2</v>
      </c>
      <c r="E1" s="30" t="s">
        <v>3</v>
      </c>
      <c r="F1" s="30"/>
      <c r="G1" s="30"/>
      <c r="H1" s="14" t="s">
        <v>4</v>
      </c>
      <c r="I1" s="14" t="s">
        <v>5</v>
      </c>
      <c r="J1" s="14" t="s">
        <v>6</v>
      </c>
      <c r="K1" s="15" t="s">
        <v>19</v>
      </c>
    </row>
    <row r="2" spans="1:14">
      <c r="A2" s="1" t="s">
        <v>8</v>
      </c>
      <c r="B2" s="1" t="s">
        <v>2</v>
      </c>
      <c r="C2" s="2">
        <v>1</v>
      </c>
      <c r="D2" s="2">
        <v>1</v>
      </c>
      <c r="E2" s="2">
        <v>3.6</v>
      </c>
      <c r="F2" s="2">
        <v>3.6</v>
      </c>
      <c r="G2" s="2">
        <v>3.6</v>
      </c>
      <c r="H2" s="2">
        <v>4</v>
      </c>
      <c r="I2" s="2">
        <v>1</v>
      </c>
      <c r="J2" s="2" t="s">
        <v>7</v>
      </c>
      <c r="K2" s="10">
        <v>0</v>
      </c>
      <c r="L2" t="s">
        <v>16</v>
      </c>
      <c r="M2" t="s">
        <v>17</v>
      </c>
      <c r="N2" t="s">
        <v>4</v>
      </c>
    </row>
    <row r="3" spans="1:14">
      <c r="A3" s="1" t="s">
        <v>8</v>
      </c>
      <c r="B3" s="1" t="s">
        <v>2</v>
      </c>
      <c r="C3" s="2">
        <v>2</v>
      </c>
      <c r="D3" s="2">
        <v>1</v>
      </c>
      <c r="E3" s="2">
        <v>3.6</v>
      </c>
      <c r="F3" s="2">
        <v>3.6</v>
      </c>
      <c r="G3" s="2">
        <v>3.6</v>
      </c>
      <c r="H3" s="2">
        <v>4</v>
      </c>
      <c r="I3" s="2">
        <v>1</v>
      </c>
      <c r="J3" s="2" t="s">
        <v>7</v>
      </c>
      <c r="K3" s="10">
        <v>0</v>
      </c>
      <c r="L3" s="6">
        <v>45950</v>
      </c>
      <c r="M3" s="6">
        <v>45967</v>
      </c>
      <c r="N3">
        <f>M3-L3</f>
        <v>17</v>
      </c>
    </row>
    <row r="4" spans="1:14">
      <c r="A4" s="1" t="s">
        <v>8</v>
      </c>
      <c r="B4" s="1" t="s">
        <v>2</v>
      </c>
      <c r="C4" s="2">
        <v>3</v>
      </c>
      <c r="D4" s="2">
        <v>1</v>
      </c>
      <c r="E4" s="2">
        <v>3.6</v>
      </c>
      <c r="F4" s="2">
        <v>3.6</v>
      </c>
      <c r="G4" s="2">
        <v>3.6</v>
      </c>
      <c r="H4" s="2">
        <v>4</v>
      </c>
      <c r="I4" s="2">
        <v>1</v>
      </c>
      <c r="J4" s="2" t="s">
        <v>7</v>
      </c>
      <c r="K4" s="10">
        <v>0</v>
      </c>
    </row>
    <row r="5" spans="1:14">
      <c r="A5" s="1" t="s">
        <v>8</v>
      </c>
      <c r="B5" s="1" t="s">
        <v>10</v>
      </c>
      <c r="C5" s="2">
        <v>1</v>
      </c>
      <c r="D5" s="2">
        <v>0</v>
      </c>
      <c r="E5" s="2">
        <v>2.7</v>
      </c>
      <c r="F5" s="2">
        <v>3.4</v>
      </c>
      <c r="G5" s="2">
        <v>2.9</v>
      </c>
      <c r="H5" s="2">
        <v>4</v>
      </c>
      <c r="I5" s="2">
        <v>0</v>
      </c>
      <c r="J5" s="2" t="s">
        <v>7</v>
      </c>
      <c r="K5" s="10">
        <v>0</v>
      </c>
      <c r="L5" t="s">
        <v>21</v>
      </c>
    </row>
    <row r="6" spans="1:14">
      <c r="A6" s="1" t="s">
        <v>8</v>
      </c>
      <c r="B6" s="1" t="s">
        <v>10</v>
      </c>
      <c r="C6" s="2">
        <v>2</v>
      </c>
      <c r="D6" s="2">
        <v>0</v>
      </c>
      <c r="E6" s="2">
        <v>3</v>
      </c>
      <c r="F6" s="2">
        <v>3.2</v>
      </c>
      <c r="G6" s="2">
        <v>3</v>
      </c>
      <c r="H6" s="2">
        <v>4</v>
      </c>
      <c r="I6" s="2">
        <v>0</v>
      </c>
      <c r="J6" s="2" t="s">
        <v>7</v>
      </c>
      <c r="K6" s="10">
        <v>0</v>
      </c>
    </row>
    <row r="7" spans="1:14">
      <c r="A7" s="1" t="s">
        <v>8</v>
      </c>
      <c r="B7" s="1" t="s">
        <v>10</v>
      </c>
      <c r="C7" s="2">
        <v>3</v>
      </c>
      <c r="D7" s="2">
        <v>0</v>
      </c>
      <c r="E7" s="2">
        <v>3.9</v>
      </c>
      <c r="F7" s="2">
        <v>3.5</v>
      </c>
      <c r="G7" s="2">
        <v>3.4</v>
      </c>
      <c r="H7" s="2">
        <v>4</v>
      </c>
      <c r="I7" s="2">
        <v>0</v>
      </c>
      <c r="J7" s="2" t="s">
        <v>7</v>
      </c>
      <c r="K7" s="10">
        <v>0</v>
      </c>
    </row>
    <row r="8" spans="1:14">
      <c r="A8" s="1" t="s">
        <v>8</v>
      </c>
      <c r="B8" s="3" t="s">
        <v>11</v>
      </c>
      <c r="C8" s="2">
        <v>1</v>
      </c>
      <c r="D8" s="2">
        <v>0</v>
      </c>
      <c r="E8" s="2">
        <v>3.6</v>
      </c>
      <c r="F8" s="2">
        <v>3.6</v>
      </c>
      <c r="G8" s="2">
        <v>3.6</v>
      </c>
      <c r="H8" s="2">
        <v>4</v>
      </c>
      <c r="I8" s="2">
        <v>1</v>
      </c>
      <c r="J8" s="2" t="s">
        <v>7</v>
      </c>
      <c r="K8" s="10">
        <v>0</v>
      </c>
    </row>
    <row r="9" spans="1:14">
      <c r="A9" s="1" t="s">
        <v>8</v>
      </c>
      <c r="B9" s="3" t="s">
        <v>11</v>
      </c>
      <c r="C9" s="2">
        <v>2</v>
      </c>
      <c r="D9" s="2">
        <v>0</v>
      </c>
      <c r="E9" s="2">
        <v>3.5</v>
      </c>
      <c r="F9" s="2">
        <v>3.6</v>
      </c>
      <c r="G9" s="2">
        <v>3.6</v>
      </c>
      <c r="H9" s="2">
        <v>4</v>
      </c>
      <c r="I9" s="2">
        <v>0</v>
      </c>
      <c r="J9" s="2" t="s">
        <v>7</v>
      </c>
      <c r="K9" s="10">
        <v>0</v>
      </c>
    </row>
    <row r="10" spans="1:14">
      <c r="A10" s="1" t="s">
        <v>8</v>
      </c>
      <c r="B10" s="3" t="s">
        <v>11</v>
      </c>
      <c r="C10" s="2">
        <v>3</v>
      </c>
      <c r="D10" s="2">
        <v>0</v>
      </c>
      <c r="E10" s="2">
        <v>3.4</v>
      </c>
      <c r="F10" s="2">
        <v>3.6</v>
      </c>
      <c r="G10" s="2">
        <v>3.5</v>
      </c>
      <c r="H10" s="2">
        <v>4</v>
      </c>
      <c r="I10" s="2">
        <v>0</v>
      </c>
      <c r="J10" s="2" t="s">
        <v>7</v>
      </c>
      <c r="K10" s="10">
        <v>0</v>
      </c>
    </row>
    <row r="11" spans="1:14">
      <c r="A11" s="1" t="s">
        <v>8</v>
      </c>
      <c r="B11" s="1" t="s">
        <v>12</v>
      </c>
      <c r="C11" s="2">
        <v>1</v>
      </c>
      <c r="D11" s="2">
        <v>0</v>
      </c>
      <c r="E11" s="2">
        <v>3.6</v>
      </c>
      <c r="F11" s="2">
        <v>3.6</v>
      </c>
      <c r="G11" s="2">
        <v>3.6</v>
      </c>
      <c r="H11" s="2">
        <v>4</v>
      </c>
      <c r="I11" s="2">
        <v>1</v>
      </c>
      <c r="J11" s="2" t="s">
        <v>7</v>
      </c>
      <c r="K11" s="10">
        <v>0</v>
      </c>
    </row>
    <row r="12" spans="1:14">
      <c r="A12" s="1" t="s">
        <v>8</v>
      </c>
      <c r="B12" s="1" t="s">
        <v>12</v>
      </c>
      <c r="C12" s="2">
        <v>2</v>
      </c>
      <c r="D12" s="2">
        <v>0</v>
      </c>
      <c r="E12" s="2">
        <v>3.6</v>
      </c>
      <c r="F12" s="2">
        <v>3.6</v>
      </c>
      <c r="G12" s="2">
        <v>3.6</v>
      </c>
      <c r="H12" s="2">
        <v>4</v>
      </c>
      <c r="I12" s="2">
        <v>1</v>
      </c>
      <c r="J12" s="2" t="s">
        <v>7</v>
      </c>
      <c r="K12" s="10">
        <v>0</v>
      </c>
    </row>
    <row r="13" spans="1:14">
      <c r="A13" s="1" t="s">
        <v>8</v>
      </c>
      <c r="B13" s="1" t="s">
        <v>12</v>
      </c>
      <c r="C13" s="2">
        <v>3</v>
      </c>
      <c r="D13" s="2">
        <v>0</v>
      </c>
      <c r="E13" s="2">
        <v>3.6</v>
      </c>
      <c r="F13" s="2">
        <v>3.6</v>
      </c>
      <c r="G13" s="2">
        <v>3.6</v>
      </c>
      <c r="H13" s="2">
        <v>4</v>
      </c>
      <c r="I13" s="2">
        <v>1</v>
      </c>
      <c r="J13" s="2" t="s">
        <v>7</v>
      </c>
      <c r="K13" s="10">
        <v>0</v>
      </c>
    </row>
    <row r="14" spans="1:14">
      <c r="A14" s="1" t="s">
        <v>8</v>
      </c>
      <c r="B14" s="1" t="s">
        <v>13</v>
      </c>
      <c r="C14" s="2">
        <v>1</v>
      </c>
      <c r="D14" s="2">
        <v>0</v>
      </c>
      <c r="E14" s="2">
        <v>3.6</v>
      </c>
      <c r="F14" s="2">
        <v>3.6</v>
      </c>
      <c r="G14" s="2">
        <v>3.6</v>
      </c>
      <c r="H14" s="2">
        <v>4</v>
      </c>
      <c r="I14" s="2">
        <v>1</v>
      </c>
      <c r="J14" s="2" t="s">
        <v>7</v>
      </c>
      <c r="K14" s="10">
        <v>0</v>
      </c>
    </row>
    <row r="15" spans="1:14">
      <c r="A15" s="1" t="s">
        <v>8</v>
      </c>
      <c r="B15" s="1" t="s">
        <v>13</v>
      </c>
      <c r="C15" s="2">
        <v>2</v>
      </c>
      <c r="D15" s="2">
        <v>0</v>
      </c>
      <c r="E15" s="2">
        <v>3.6</v>
      </c>
      <c r="F15" s="2">
        <v>3.6</v>
      </c>
      <c r="G15" s="2">
        <v>3.6</v>
      </c>
      <c r="H15" s="2">
        <v>4</v>
      </c>
      <c r="I15" s="2">
        <v>1</v>
      </c>
      <c r="J15" s="2" t="s">
        <v>7</v>
      </c>
      <c r="K15" s="10">
        <v>0</v>
      </c>
    </row>
    <row r="16" spans="1:14">
      <c r="A16" s="1" t="s">
        <v>8</v>
      </c>
      <c r="B16" s="1" t="s">
        <v>13</v>
      </c>
      <c r="C16" s="2">
        <v>3</v>
      </c>
      <c r="D16" s="2">
        <v>0</v>
      </c>
      <c r="E16" s="2">
        <v>3.6</v>
      </c>
      <c r="F16" s="2">
        <v>3.6</v>
      </c>
      <c r="G16" s="2">
        <v>3.6</v>
      </c>
      <c r="H16" s="2">
        <v>4</v>
      </c>
      <c r="I16" s="2">
        <v>1</v>
      </c>
      <c r="J16" s="2" t="s">
        <v>7</v>
      </c>
      <c r="K16" s="10">
        <v>0</v>
      </c>
    </row>
    <row r="17" spans="1:11">
      <c r="A17" s="1" t="s">
        <v>14</v>
      </c>
      <c r="B17" s="1" t="s">
        <v>2</v>
      </c>
      <c r="C17" s="2">
        <v>1</v>
      </c>
      <c r="D17" s="2">
        <v>1</v>
      </c>
      <c r="E17" s="2">
        <v>3.8</v>
      </c>
      <c r="F17" s="2">
        <v>3.8</v>
      </c>
      <c r="G17" s="2">
        <v>3.8</v>
      </c>
      <c r="H17" s="2">
        <f t="shared" ref="H17:H30" si="0">N$3</f>
        <v>17</v>
      </c>
      <c r="I17" s="2">
        <v>1</v>
      </c>
      <c r="J17" s="2" t="s">
        <v>7</v>
      </c>
      <c r="K17" s="10">
        <v>0</v>
      </c>
    </row>
    <row r="18" spans="1:11">
      <c r="A18" s="1" t="s">
        <v>14</v>
      </c>
      <c r="B18" s="1" t="s">
        <v>2</v>
      </c>
      <c r="C18" s="2">
        <v>2</v>
      </c>
      <c r="D18" s="2">
        <v>1</v>
      </c>
      <c r="E18" s="2">
        <v>3.8</v>
      </c>
      <c r="F18" s="2">
        <v>3.8</v>
      </c>
      <c r="G18" s="2">
        <v>3.8</v>
      </c>
      <c r="H18" s="2">
        <f t="shared" si="0"/>
        <v>17</v>
      </c>
      <c r="I18" s="2">
        <v>1</v>
      </c>
      <c r="J18" s="2" t="s">
        <v>7</v>
      </c>
      <c r="K18" s="10">
        <v>0</v>
      </c>
    </row>
    <row r="19" spans="1:11">
      <c r="A19" s="1" t="s">
        <v>14</v>
      </c>
      <c r="B19" s="1" t="s">
        <v>2</v>
      </c>
      <c r="C19" s="2">
        <v>3</v>
      </c>
      <c r="D19" s="2">
        <v>1</v>
      </c>
      <c r="E19" s="2">
        <v>3.8</v>
      </c>
      <c r="F19" s="2">
        <v>3.8</v>
      </c>
      <c r="G19" s="2">
        <v>3.8</v>
      </c>
      <c r="H19" s="2">
        <f t="shared" si="0"/>
        <v>17</v>
      </c>
      <c r="I19" s="2">
        <v>1</v>
      </c>
      <c r="J19" s="2" t="s">
        <v>7</v>
      </c>
      <c r="K19" s="10">
        <v>0</v>
      </c>
    </row>
    <row r="20" spans="1:11">
      <c r="A20" s="1" t="s">
        <v>14</v>
      </c>
      <c r="B20" s="1" t="s">
        <v>10</v>
      </c>
      <c r="C20" s="2">
        <v>1</v>
      </c>
      <c r="D20" s="2">
        <v>0</v>
      </c>
      <c r="E20" s="2">
        <v>1</v>
      </c>
      <c r="F20" s="2">
        <v>1.2</v>
      </c>
      <c r="G20" s="2">
        <v>1.2</v>
      </c>
      <c r="H20" s="2">
        <f t="shared" si="0"/>
        <v>17</v>
      </c>
      <c r="I20" s="2">
        <v>0</v>
      </c>
      <c r="J20" s="2" t="s">
        <v>7</v>
      </c>
      <c r="K20" s="2">
        <v>0</v>
      </c>
    </row>
    <row r="21" spans="1:11">
      <c r="A21" s="7" t="s">
        <v>14</v>
      </c>
      <c r="B21" s="7" t="s">
        <v>10</v>
      </c>
      <c r="C21" s="8">
        <v>2</v>
      </c>
      <c r="D21" s="8">
        <v>0</v>
      </c>
      <c r="E21" s="8"/>
      <c r="F21" s="8"/>
      <c r="G21" s="8"/>
      <c r="H21" s="8">
        <f t="shared" si="0"/>
        <v>17</v>
      </c>
      <c r="I21" s="8"/>
      <c r="J21" s="8" t="s">
        <v>7</v>
      </c>
      <c r="K21" s="8">
        <v>1</v>
      </c>
    </row>
    <row r="22" spans="1:11">
      <c r="A22" s="7" t="s">
        <v>14</v>
      </c>
      <c r="B22" s="7" t="s">
        <v>10</v>
      </c>
      <c r="C22" s="8">
        <v>3</v>
      </c>
      <c r="D22" s="8">
        <v>0</v>
      </c>
      <c r="E22" s="8"/>
      <c r="F22" s="8"/>
      <c r="G22" s="8"/>
      <c r="H22" s="8">
        <f t="shared" si="0"/>
        <v>17</v>
      </c>
      <c r="I22" s="8"/>
      <c r="J22" s="8" t="s">
        <v>7</v>
      </c>
      <c r="K22" s="8">
        <v>1</v>
      </c>
    </row>
    <row r="23" spans="1:11">
      <c r="A23" s="1" t="s">
        <v>14</v>
      </c>
      <c r="B23" s="3" t="s">
        <v>11</v>
      </c>
      <c r="C23" s="2">
        <v>1</v>
      </c>
      <c r="D23" s="2">
        <v>0</v>
      </c>
      <c r="E23" s="2">
        <v>1</v>
      </c>
      <c r="F23" s="2">
        <v>1</v>
      </c>
      <c r="G23" s="2">
        <v>1</v>
      </c>
      <c r="H23" s="2">
        <f t="shared" si="0"/>
        <v>17</v>
      </c>
      <c r="I23" s="2">
        <v>0</v>
      </c>
      <c r="J23" s="2" t="s">
        <v>7</v>
      </c>
      <c r="K23" s="2">
        <v>0</v>
      </c>
    </row>
    <row r="24" spans="1:11">
      <c r="A24" s="1" t="s">
        <v>14</v>
      </c>
      <c r="B24" s="3" t="s">
        <v>11</v>
      </c>
      <c r="C24" s="2">
        <v>2</v>
      </c>
      <c r="D24" s="2">
        <v>0</v>
      </c>
      <c r="E24" s="2">
        <v>1</v>
      </c>
      <c r="F24" s="2">
        <v>0.9</v>
      </c>
      <c r="G24" s="2">
        <v>1</v>
      </c>
      <c r="H24" s="2">
        <f t="shared" si="0"/>
        <v>17</v>
      </c>
      <c r="I24" s="2">
        <v>0</v>
      </c>
      <c r="J24" s="2" t="s">
        <v>7</v>
      </c>
      <c r="K24" s="2">
        <v>0</v>
      </c>
    </row>
    <row r="25" spans="1:11">
      <c r="A25" s="1" t="s">
        <v>14</v>
      </c>
      <c r="B25" s="3" t="s">
        <v>11</v>
      </c>
      <c r="C25" s="2">
        <v>3</v>
      </c>
      <c r="D25" s="2">
        <v>0</v>
      </c>
      <c r="E25" s="2">
        <v>1.4</v>
      </c>
      <c r="F25" s="2">
        <v>1.4</v>
      </c>
      <c r="G25" s="2">
        <v>1.4</v>
      </c>
      <c r="H25" s="2">
        <f>N$3</f>
        <v>17</v>
      </c>
      <c r="I25" s="2">
        <v>0</v>
      </c>
      <c r="J25" s="2" t="s">
        <v>7</v>
      </c>
      <c r="K25" s="2">
        <v>0</v>
      </c>
    </row>
    <row r="26" spans="1:11">
      <c r="A26" s="1" t="s">
        <v>14</v>
      </c>
      <c r="B26" s="1" t="s">
        <v>12</v>
      </c>
      <c r="C26" s="2">
        <v>1</v>
      </c>
      <c r="D26" s="2">
        <v>0</v>
      </c>
      <c r="E26" s="2">
        <v>1.1000000000000001</v>
      </c>
      <c r="F26" s="2">
        <v>1</v>
      </c>
      <c r="G26" s="2">
        <v>1.1000000000000001</v>
      </c>
      <c r="H26" s="2">
        <f t="shared" si="0"/>
        <v>17</v>
      </c>
      <c r="I26" s="2">
        <v>0</v>
      </c>
      <c r="J26" s="2" t="s">
        <v>7</v>
      </c>
      <c r="K26" s="2">
        <v>0</v>
      </c>
    </row>
    <row r="27" spans="1:11">
      <c r="A27" s="1" t="s">
        <v>14</v>
      </c>
      <c r="B27" s="1" t="s">
        <v>12</v>
      </c>
      <c r="C27" s="2">
        <v>2</v>
      </c>
      <c r="D27" s="2">
        <v>0</v>
      </c>
      <c r="E27" s="2">
        <v>1.6</v>
      </c>
      <c r="F27" s="2">
        <v>1.6</v>
      </c>
      <c r="G27" s="2">
        <v>1.8</v>
      </c>
      <c r="H27" s="2">
        <f t="shared" si="0"/>
        <v>17</v>
      </c>
      <c r="I27" s="2">
        <v>0</v>
      </c>
      <c r="J27" s="2" t="s">
        <v>7</v>
      </c>
      <c r="K27" s="2">
        <v>0</v>
      </c>
    </row>
    <row r="28" spans="1:11">
      <c r="A28" s="1" t="s">
        <v>14</v>
      </c>
      <c r="B28" s="1" t="s">
        <v>12</v>
      </c>
      <c r="C28" s="2">
        <v>3</v>
      </c>
      <c r="D28" s="2">
        <v>0</v>
      </c>
      <c r="E28" s="2">
        <v>1</v>
      </c>
      <c r="F28" s="2">
        <v>1.1000000000000001</v>
      </c>
      <c r="G28" s="2">
        <v>1</v>
      </c>
      <c r="H28" s="2">
        <f t="shared" si="0"/>
        <v>17</v>
      </c>
      <c r="I28" s="2">
        <v>0</v>
      </c>
      <c r="J28" s="2" t="s">
        <v>7</v>
      </c>
      <c r="K28" s="2">
        <v>0</v>
      </c>
    </row>
    <row r="29" spans="1:11">
      <c r="A29" s="1" t="s">
        <v>14</v>
      </c>
      <c r="B29" s="1" t="s">
        <v>13</v>
      </c>
      <c r="C29" s="2">
        <v>1</v>
      </c>
      <c r="D29" s="2">
        <v>0</v>
      </c>
      <c r="E29" s="2">
        <v>1</v>
      </c>
      <c r="F29" s="2">
        <v>1</v>
      </c>
      <c r="G29" s="2">
        <v>1.1000000000000001</v>
      </c>
      <c r="H29" s="2">
        <f t="shared" si="0"/>
        <v>17</v>
      </c>
      <c r="I29" s="2">
        <v>0</v>
      </c>
      <c r="J29" s="2" t="s">
        <v>7</v>
      </c>
      <c r="K29" s="2">
        <v>0</v>
      </c>
    </row>
    <row r="30" spans="1:11">
      <c r="A30" s="7" t="s">
        <v>14</v>
      </c>
      <c r="B30" s="7" t="s">
        <v>13</v>
      </c>
      <c r="C30" s="8">
        <v>2</v>
      </c>
      <c r="D30" s="8">
        <v>0</v>
      </c>
      <c r="E30" s="8"/>
      <c r="F30" s="8"/>
      <c r="G30" s="8"/>
      <c r="H30" s="8">
        <f t="shared" si="0"/>
        <v>17</v>
      </c>
      <c r="I30" s="8"/>
      <c r="J30" s="8" t="s">
        <v>7</v>
      </c>
      <c r="K30" s="8">
        <v>1</v>
      </c>
    </row>
    <row r="31" spans="1:11">
      <c r="A31" s="1" t="s">
        <v>14</v>
      </c>
      <c r="B31" s="1" t="s">
        <v>13</v>
      </c>
      <c r="C31" s="2">
        <v>3</v>
      </c>
      <c r="D31" s="2">
        <v>0</v>
      </c>
      <c r="E31" s="2">
        <v>1</v>
      </c>
      <c r="F31" s="2">
        <v>1.1000000000000001</v>
      </c>
      <c r="G31" s="2">
        <v>1.2</v>
      </c>
      <c r="H31" s="2">
        <f>N$3</f>
        <v>17</v>
      </c>
      <c r="I31" s="2">
        <v>0</v>
      </c>
      <c r="J31" s="2" t="s">
        <v>7</v>
      </c>
      <c r="K31" s="2">
        <v>0</v>
      </c>
    </row>
    <row r="32" spans="1:11">
      <c r="A32" s="2" t="s">
        <v>15</v>
      </c>
      <c r="B32" s="2" t="s">
        <v>2</v>
      </c>
      <c r="C32" s="2">
        <v>1</v>
      </c>
      <c r="D32" s="2">
        <v>1</v>
      </c>
      <c r="E32" s="2">
        <v>3.8</v>
      </c>
      <c r="F32" s="2">
        <v>3.8</v>
      </c>
      <c r="G32" s="2">
        <v>3.8</v>
      </c>
      <c r="H32" s="2">
        <v>8</v>
      </c>
      <c r="I32" s="2">
        <v>1</v>
      </c>
      <c r="J32" s="2" t="s">
        <v>7</v>
      </c>
      <c r="K32" s="2">
        <v>0</v>
      </c>
    </row>
    <row r="33" spans="1:11">
      <c r="A33" s="2" t="s">
        <v>15</v>
      </c>
      <c r="B33" s="2" t="s">
        <v>2</v>
      </c>
      <c r="C33" s="2">
        <v>2</v>
      </c>
      <c r="D33" s="2">
        <v>1</v>
      </c>
      <c r="E33" s="2">
        <v>3.8</v>
      </c>
      <c r="F33" s="2">
        <v>3.8</v>
      </c>
      <c r="G33" s="2">
        <v>3.8</v>
      </c>
      <c r="H33" s="2">
        <v>8</v>
      </c>
      <c r="I33" s="2">
        <v>1</v>
      </c>
      <c r="J33" s="2" t="s">
        <v>7</v>
      </c>
      <c r="K33" s="2">
        <v>0</v>
      </c>
    </row>
    <row r="34" spans="1:11">
      <c r="A34" s="2" t="s">
        <v>15</v>
      </c>
      <c r="B34" s="2" t="s">
        <v>2</v>
      </c>
      <c r="C34" s="2">
        <v>3</v>
      </c>
      <c r="D34" s="2">
        <v>1</v>
      </c>
      <c r="E34" s="2">
        <v>3.8</v>
      </c>
      <c r="F34" s="2">
        <v>3.8</v>
      </c>
      <c r="G34" s="2">
        <v>3.8</v>
      </c>
      <c r="H34" s="2">
        <v>8</v>
      </c>
      <c r="I34" s="2">
        <v>1</v>
      </c>
      <c r="J34" s="2" t="s">
        <v>7</v>
      </c>
      <c r="K34" s="2">
        <v>0</v>
      </c>
    </row>
    <row r="35" spans="1:11">
      <c r="A35" s="2" t="s">
        <v>15</v>
      </c>
      <c r="B35" s="2" t="s">
        <v>10</v>
      </c>
      <c r="C35" s="2">
        <v>1</v>
      </c>
      <c r="D35" s="2">
        <v>0</v>
      </c>
      <c r="E35" s="2">
        <v>0.3</v>
      </c>
      <c r="F35" s="2">
        <v>0.3</v>
      </c>
      <c r="G35" s="2">
        <v>0.3</v>
      </c>
      <c r="H35" s="2">
        <v>8</v>
      </c>
      <c r="I35" s="2">
        <v>0</v>
      </c>
      <c r="J35" s="2" t="s">
        <v>7</v>
      </c>
      <c r="K35" s="2">
        <v>0</v>
      </c>
    </row>
    <row r="36" spans="1:11">
      <c r="A36" s="8" t="s">
        <v>15</v>
      </c>
      <c r="B36" s="8" t="s">
        <v>10</v>
      </c>
      <c r="C36" s="8">
        <v>2</v>
      </c>
      <c r="D36" s="8">
        <v>0</v>
      </c>
      <c r="E36" s="8"/>
      <c r="F36" s="8"/>
      <c r="G36" s="8"/>
      <c r="H36" s="8">
        <v>8</v>
      </c>
      <c r="I36" s="8"/>
      <c r="J36" s="8" t="s">
        <v>7</v>
      </c>
      <c r="K36" s="8">
        <v>1</v>
      </c>
    </row>
    <row r="37" spans="1:11">
      <c r="A37" s="2" t="s">
        <v>15</v>
      </c>
      <c r="B37" s="2" t="s">
        <v>11</v>
      </c>
      <c r="C37" s="2">
        <v>1</v>
      </c>
      <c r="D37" s="2">
        <v>0</v>
      </c>
      <c r="E37" s="2">
        <v>0.3</v>
      </c>
      <c r="F37" s="2">
        <v>0.3</v>
      </c>
      <c r="G37" s="2">
        <v>0.3</v>
      </c>
      <c r="H37" s="2">
        <v>8</v>
      </c>
      <c r="I37" s="2">
        <v>0</v>
      </c>
      <c r="J37" s="2" t="s">
        <v>7</v>
      </c>
      <c r="K37" s="2">
        <v>0</v>
      </c>
    </row>
    <row r="38" spans="1:11">
      <c r="A38" s="2" t="s">
        <v>15</v>
      </c>
      <c r="B38" s="2" t="s">
        <v>11</v>
      </c>
      <c r="C38" s="2">
        <v>2</v>
      </c>
      <c r="D38" s="2">
        <v>0</v>
      </c>
      <c r="E38" s="2">
        <v>0.3</v>
      </c>
      <c r="F38" s="2">
        <v>0.3</v>
      </c>
      <c r="G38" s="2">
        <v>0.3</v>
      </c>
      <c r="H38" s="2">
        <v>8</v>
      </c>
      <c r="I38" s="2">
        <v>0</v>
      </c>
      <c r="J38" s="2" t="s">
        <v>7</v>
      </c>
      <c r="K38" s="2">
        <v>0</v>
      </c>
    </row>
    <row r="39" spans="1:11">
      <c r="A39" s="2" t="s">
        <v>15</v>
      </c>
      <c r="B39" s="2" t="s">
        <v>11</v>
      </c>
      <c r="C39" s="2">
        <v>3</v>
      </c>
      <c r="D39" s="2">
        <v>0</v>
      </c>
      <c r="E39" s="2">
        <v>0.3</v>
      </c>
      <c r="F39" s="2">
        <v>0.3</v>
      </c>
      <c r="G39" s="2">
        <v>0.3</v>
      </c>
      <c r="H39" s="2">
        <v>8</v>
      </c>
      <c r="I39" s="2">
        <v>0</v>
      </c>
      <c r="J39" s="2" t="s">
        <v>7</v>
      </c>
      <c r="K39" s="2">
        <v>0</v>
      </c>
    </row>
    <row r="40" spans="1:11">
      <c r="A40" s="2" t="s">
        <v>15</v>
      </c>
      <c r="B40" s="2" t="s">
        <v>12</v>
      </c>
      <c r="C40" s="2">
        <v>1</v>
      </c>
      <c r="D40" s="2">
        <v>0</v>
      </c>
      <c r="E40" s="2">
        <v>0.4</v>
      </c>
      <c r="F40" s="2">
        <v>0.4</v>
      </c>
      <c r="G40" s="2">
        <v>0.4</v>
      </c>
      <c r="H40" s="2">
        <v>8</v>
      </c>
      <c r="I40" s="2">
        <v>0</v>
      </c>
      <c r="J40" s="2" t="s">
        <v>7</v>
      </c>
      <c r="K40" s="2">
        <v>0</v>
      </c>
    </row>
    <row r="41" spans="1:11">
      <c r="A41" s="2" t="s">
        <v>15</v>
      </c>
      <c r="B41" s="2" t="s">
        <v>12</v>
      </c>
      <c r="C41" s="2">
        <v>2</v>
      </c>
      <c r="D41" s="2">
        <v>0</v>
      </c>
      <c r="E41" s="2">
        <v>0.4</v>
      </c>
      <c r="F41" s="2">
        <v>0.4</v>
      </c>
      <c r="G41" s="2">
        <v>0.4</v>
      </c>
      <c r="H41" s="2">
        <v>8</v>
      </c>
      <c r="I41" s="2">
        <v>0</v>
      </c>
      <c r="J41" s="2" t="s">
        <v>7</v>
      </c>
      <c r="K41" s="2">
        <v>0</v>
      </c>
    </row>
    <row r="42" spans="1:11">
      <c r="A42" s="2" t="s">
        <v>15</v>
      </c>
      <c r="B42" s="2" t="s">
        <v>12</v>
      </c>
      <c r="C42" s="2">
        <v>3</v>
      </c>
      <c r="D42" s="2">
        <v>0</v>
      </c>
      <c r="E42" s="2">
        <v>0.4</v>
      </c>
      <c r="F42" s="2">
        <v>0.4</v>
      </c>
      <c r="G42" s="2">
        <v>0.4</v>
      </c>
      <c r="H42" s="2">
        <v>8</v>
      </c>
      <c r="I42" s="2">
        <v>0</v>
      </c>
      <c r="J42" s="2" t="s">
        <v>7</v>
      </c>
      <c r="K42" s="2">
        <v>0</v>
      </c>
    </row>
    <row r="43" spans="1:11">
      <c r="A43" s="2" t="s">
        <v>15</v>
      </c>
      <c r="B43" s="2" t="s">
        <v>13</v>
      </c>
      <c r="C43" s="2">
        <v>1</v>
      </c>
      <c r="D43" s="2">
        <v>0</v>
      </c>
      <c r="E43" s="2">
        <v>0.4</v>
      </c>
      <c r="F43" s="2">
        <v>0.4</v>
      </c>
      <c r="G43" s="2">
        <v>0.4</v>
      </c>
      <c r="H43" s="2">
        <v>8</v>
      </c>
      <c r="I43" s="2">
        <v>0</v>
      </c>
      <c r="J43" s="2" t="s">
        <v>7</v>
      </c>
      <c r="K43" s="2">
        <v>0</v>
      </c>
    </row>
    <row r="44" spans="1:11">
      <c r="A44" s="2" t="s">
        <v>15</v>
      </c>
      <c r="B44" s="2" t="s">
        <v>13</v>
      </c>
      <c r="C44" s="2">
        <v>2</v>
      </c>
      <c r="D44" s="2">
        <v>0</v>
      </c>
      <c r="E44" s="2">
        <v>0.4</v>
      </c>
      <c r="F44" s="2">
        <v>0.4</v>
      </c>
      <c r="G44" s="2">
        <v>0.4</v>
      </c>
      <c r="H44" s="2">
        <v>8</v>
      </c>
      <c r="I44" s="2">
        <v>0</v>
      </c>
      <c r="J44" s="2" t="s">
        <v>7</v>
      </c>
      <c r="K44" s="2">
        <v>0</v>
      </c>
    </row>
    <row r="48" spans="1:11">
      <c r="A48" s="4"/>
      <c r="B48" s="4"/>
      <c r="C48" s="5"/>
      <c r="D48" s="5"/>
      <c r="E48" s="5"/>
      <c r="F48" s="5"/>
      <c r="G48" s="5"/>
      <c r="H48" s="5"/>
      <c r="I48" s="5"/>
      <c r="J48" s="5"/>
      <c r="K48" s="9" t="s">
        <v>18</v>
      </c>
    </row>
    <row r="49" spans="1:10">
      <c r="A49" s="4"/>
      <c r="B49" s="4"/>
      <c r="C49" s="5"/>
      <c r="D49" s="5"/>
      <c r="E49" s="5"/>
      <c r="F49" s="5"/>
      <c r="G49" s="5"/>
      <c r="H49" s="5"/>
      <c r="I49" s="5"/>
      <c r="J49" s="5"/>
    </row>
    <row r="50" spans="1:10">
      <c r="A50" s="4"/>
      <c r="B50" s="4"/>
      <c r="C50" s="5"/>
      <c r="D50" s="5"/>
      <c r="E50" s="5"/>
      <c r="F50" s="5"/>
      <c r="G50" s="5"/>
      <c r="H50" s="5"/>
      <c r="I50" s="5"/>
      <c r="J50" s="5"/>
    </row>
    <row r="51" spans="1:10">
      <c r="A51" s="4"/>
      <c r="B51" s="4"/>
      <c r="C51" s="5"/>
      <c r="D51" s="5"/>
      <c r="E51" s="5"/>
      <c r="F51" s="5"/>
      <c r="G51" s="5"/>
      <c r="H51" s="5"/>
      <c r="I51" s="5"/>
      <c r="J51" s="5"/>
    </row>
    <row r="52" spans="1:10" ht="15" customHeight="1">
      <c r="A52" s="4"/>
      <c r="B52" s="4"/>
      <c r="C52" s="5"/>
      <c r="D52" s="5"/>
      <c r="E52" s="5"/>
      <c r="F52" s="5"/>
      <c r="G52" s="5"/>
      <c r="H52" s="5"/>
      <c r="I52" s="5"/>
      <c r="J52" s="5"/>
    </row>
  </sheetData>
  <mergeCells count="1">
    <mergeCell ref="E1:G1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3D85-1403-437F-9D30-79429B893C69}">
  <dimension ref="A1:N44"/>
  <sheetViews>
    <sheetView topLeftCell="C1" workbookViewId="0">
      <selection activeCell="P3" sqref="P3:T12"/>
    </sheetView>
  </sheetViews>
  <sheetFormatPr baseColWidth="10" defaultRowHeight="14.25"/>
  <cols>
    <col min="1" max="1" width="11" style="25"/>
    <col min="2" max="2" width="10.125" style="29" bestFit="1" customWidth="1"/>
    <col min="3" max="3" width="7.875" bestFit="1" customWidth="1"/>
    <col min="4" max="4" width="4.125" bestFit="1" customWidth="1"/>
    <col min="5" max="7" width="3.875" bestFit="1" customWidth="1"/>
    <col min="8" max="8" width="3.625" bestFit="1" customWidth="1"/>
    <col min="9" max="9" width="8.5" bestFit="1" customWidth="1"/>
    <col min="10" max="10" width="9.875" bestFit="1" customWidth="1"/>
    <col min="11" max="11" width="4.75" bestFit="1" customWidth="1"/>
    <col min="17" max="17" width="14.875" bestFit="1" customWidth="1"/>
    <col min="18" max="18" width="9.375" bestFit="1" customWidth="1"/>
    <col min="19" max="19" width="19.875" bestFit="1" customWidth="1"/>
    <col min="20" max="20" width="2" bestFit="1" customWidth="1"/>
  </cols>
  <sheetData>
    <row r="1" spans="1:14" ht="15">
      <c r="A1" s="11" t="s">
        <v>0</v>
      </c>
      <c r="B1" s="11" t="s">
        <v>9</v>
      </c>
      <c r="C1" s="11" t="s">
        <v>1</v>
      </c>
      <c r="D1" s="11" t="s">
        <v>2</v>
      </c>
      <c r="E1" s="11" t="s">
        <v>3</v>
      </c>
      <c r="F1" s="11"/>
      <c r="G1" s="11"/>
      <c r="H1" s="11" t="s">
        <v>4</v>
      </c>
      <c r="I1" s="11" t="s">
        <v>5</v>
      </c>
      <c r="J1" s="11" t="s">
        <v>6</v>
      </c>
      <c r="K1" s="11" t="s">
        <v>19</v>
      </c>
    </row>
    <row r="2" spans="1:14">
      <c r="A2" s="23" t="s">
        <v>8</v>
      </c>
      <c r="B2" s="26" t="s">
        <v>2</v>
      </c>
      <c r="C2" s="2">
        <v>1</v>
      </c>
      <c r="D2" s="2">
        <v>1</v>
      </c>
      <c r="E2" s="2">
        <v>3.6</v>
      </c>
      <c r="F2" s="2">
        <v>3.6</v>
      </c>
      <c r="G2" s="2">
        <v>3.6</v>
      </c>
      <c r="H2" s="2">
        <v>4</v>
      </c>
      <c r="I2" s="2">
        <v>1</v>
      </c>
      <c r="J2" s="2" t="s">
        <v>7</v>
      </c>
      <c r="K2" s="2">
        <v>0</v>
      </c>
      <c r="L2">
        <f t="shared" ref="L2:L20" si="0">AVERAGE(E2:G2)</f>
        <v>3.6</v>
      </c>
      <c r="M2" s="12">
        <f>AVERAGE(L2:L4)</f>
        <v>3.6</v>
      </c>
      <c r="N2" s="12">
        <f>ROUND(M2,1)</f>
        <v>3.6</v>
      </c>
    </row>
    <row r="3" spans="1:14">
      <c r="A3" s="23" t="s">
        <v>8</v>
      </c>
      <c r="B3" s="26" t="s">
        <v>2</v>
      </c>
      <c r="C3" s="2">
        <v>2</v>
      </c>
      <c r="D3" s="2">
        <v>1</v>
      </c>
      <c r="E3" s="2">
        <v>3.6</v>
      </c>
      <c r="F3" s="2">
        <v>3.6</v>
      </c>
      <c r="G3" s="2">
        <v>3.6</v>
      </c>
      <c r="H3" s="2">
        <v>4</v>
      </c>
      <c r="I3" s="2">
        <v>1</v>
      </c>
      <c r="J3" s="2" t="s">
        <v>7</v>
      </c>
      <c r="K3" s="2">
        <v>0</v>
      </c>
      <c r="L3">
        <f t="shared" si="0"/>
        <v>3.6</v>
      </c>
      <c r="M3" s="12"/>
    </row>
    <row r="4" spans="1:14">
      <c r="A4" s="23" t="s">
        <v>8</v>
      </c>
      <c r="B4" s="26" t="s">
        <v>2</v>
      </c>
      <c r="C4" s="2">
        <v>3</v>
      </c>
      <c r="D4" s="2">
        <v>1</v>
      </c>
      <c r="E4" s="2">
        <v>3.6</v>
      </c>
      <c r="F4" s="2">
        <v>3.6</v>
      </c>
      <c r="G4" s="2">
        <v>3.6</v>
      </c>
      <c r="H4" s="2">
        <v>4</v>
      </c>
      <c r="I4" s="2">
        <v>1</v>
      </c>
      <c r="J4" s="2" t="s">
        <v>7</v>
      </c>
      <c r="K4" s="2">
        <v>0</v>
      </c>
      <c r="L4">
        <f t="shared" si="0"/>
        <v>3.6</v>
      </c>
      <c r="M4" s="12"/>
    </row>
    <row r="5" spans="1:14">
      <c r="A5" s="23" t="s">
        <v>8</v>
      </c>
      <c r="B5" s="26" t="s">
        <v>10</v>
      </c>
      <c r="C5" s="2">
        <v>1</v>
      </c>
      <c r="D5" s="2">
        <v>0</v>
      </c>
      <c r="E5" s="2">
        <v>2.7</v>
      </c>
      <c r="F5" s="2">
        <v>3.4</v>
      </c>
      <c r="G5" s="2">
        <v>2.9</v>
      </c>
      <c r="H5" s="2">
        <v>4</v>
      </c>
      <c r="I5" s="2">
        <v>0</v>
      </c>
      <c r="J5" s="2" t="s">
        <v>7</v>
      </c>
      <c r="K5" s="2">
        <v>0</v>
      </c>
      <c r="L5" s="13">
        <f t="shared" si="0"/>
        <v>3</v>
      </c>
      <c r="M5" s="12">
        <f>AVERAGE(L5:L7)</f>
        <v>3.2222222222222219</v>
      </c>
      <c r="N5" s="12">
        <f>ROUND(M5,1)</f>
        <v>3.2</v>
      </c>
    </row>
    <row r="6" spans="1:14">
      <c r="A6" s="23" t="s">
        <v>8</v>
      </c>
      <c r="B6" s="26" t="s">
        <v>10</v>
      </c>
      <c r="C6" s="2">
        <v>2</v>
      </c>
      <c r="D6" s="2">
        <v>0</v>
      </c>
      <c r="E6" s="2">
        <v>3</v>
      </c>
      <c r="F6" s="2">
        <v>3.2</v>
      </c>
      <c r="G6" s="2">
        <v>3</v>
      </c>
      <c r="H6" s="2">
        <v>4</v>
      </c>
      <c r="I6" s="2">
        <v>0</v>
      </c>
      <c r="J6" s="2" t="s">
        <v>7</v>
      </c>
      <c r="K6" s="2">
        <v>0</v>
      </c>
      <c r="L6" s="13">
        <f t="shared" si="0"/>
        <v>3.0666666666666664</v>
      </c>
      <c r="M6" s="12"/>
    </row>
    <row r="7" spans="1:14">
      <c r="A7" s="23" t="s">
        <v>8</v>
      </c>
      <c r="B7" s="26" t="s">
        <v>10</v>
      </c>
      <c r="C7" s="2">
        <v>3</v>
      </c>
      <c r="D7" s="2">
        <v>0</v>
      </c>
      <c r="E7" s="2">
        <v>3.9</v>
      </c>
      <c r="F7" s="2">
        <v>3.5</v>
      </c>
      <c r="G7" s="2">
        <v>3.4</v>
      </c>
      <c r="H7" s="2">
        <v>4</v>
      </c>
      <c r="I7" s="2">
        <v>0</v>
      </c>
      <c r="J7" s="2" t="s">
        <v>7</v>
      </c>
      <c r="K7" s="2">
        <v>0</v>
      </c>
      <c r="L7">
        <f t="shared" si="0"/>
        <v>3.6</v>
      </c>
      <c r="M7" s="12"/>
    </row>
    <row r="8" spans="1:14">
      <c r="A8" s="23" t="s">
        <v>8</v>
      </c>
      <c r="B8" s="26" t="s">
        <v>11</v>
      </c>
      <c r="C8" s="2">
        <v>1</v>
      </c>
      <c r="D8" s="2">
        <v>0</v>
      </c>
      <c r="E8" s="2">
        <v>3.6</v>
      </c>
      <c r="F8" s="2">
        <v>3.6</v>
      </c>
      <c r="G8" s="2">
        <v>3.6</v>
      </c>
      <c r="H8" s="2">
        <v>4</v>
      </c>
      <c r="I8" s="2">
        <v>1</v>
      </c>
      <c r="J8" s="2" t="s">
        <v>7</v>
      </c>
      <c r="K8" s="2">
        <v>0</v>
      </c>
      <c r="L8">
        <f t="shared" si="0"/>
        <v>3.6</v>
      </c>
      <c r="M8" s="12">
        <f>AVERAGE(L8:L10)</f>
        <v>3.5555555555555554</v>
      </c>
      <c r="N8" s="12">
        <f>ROUND(M8,1)</f>
        <v>3.6</v>
      </c>
    </row>
    <row r="9" spans="1:14">
      <c r="A9" s="23" t="s">
        <v>8</v>
      </c>
      <c r="B9" s="26" t="s">
        <v>11</v>
      </c>
      <c r="C9" s="2">
        <v>2</v>
      </c>
      <c r="D9" s="2">
        <v>0</v>
      </c>
      <c r="E9" s="2">
        <v>3.5</v>
      </c>
      <c r="F9" s="2">
        <v>3.6</v>
      </c>
      <c r="G9" s="2">
        <v>3.6</v>
      </c>
      <c r="H9" s="2">
        <v>4</v>
      </c>
      <c r="I9" s="2">
        <v>0</v>
      </c>
      <c r="J9" s="2" t="s">
        <v>7</v>
      </c>
      <c r="K9" s="2">
        <v>0</v>
      </c>
      <c r="L9" s="13">
        <f t="shared" si="0"/>
        <v>3.5666666666666664</v>
      </c>
      <c r="M9" s="12"/>
    </row>
    <row r="10" spans="1:14">
      <c r="A10" s="23" t="s">
        <v>8</v>
      </c>
      <c r="B10" s="26" t="s">
        <v>11</v>
      </c>
      <c r="C10" s="2">
        <v>3</v>
      </c>
      <c r="D10" s="2">
        <v>0</v>
      </c>
      <c r="E10" s="2">
        <v>3.4</v>
      </c>
      <c r="F10" s="2">
        <v>3.6</v>
      </c>
      <c r="G10" s="2">
        <v>3.5</v>
      </c>
      <c r="H10" s="2">
        <v>4</v>
      </c>
      <c r="I10" s="2">
        <v>0</v>
      </c>
      <c r="J10" s="2" t="s">
        <v>7</v>
      </c>
      <c r="K10" s="2">
        <v>0</v>
      </c>
      <c r="L10">
        <f t="shared" si="0"/>
        <v>3.5</v>
      </c>
      <c r="M10" s="12"/>
    </row>
    <row r="11" spans="1:14">
      <c r="A11" s="23" t="s">
        <v>8</v>
      </c>
      <c r="B11" s="26" t="s">
        <v>12</v>
      </c>
      <c r="C11" s="2">
        <v>1</v>
      </c>
      <c r="D11" s="2">
        <v>0</v>
      </c>
      <c r="E11" s="2">
        <v>3.6</v>
      </c>
      <c r="F11" s="2">
        <v>3.6</v>
      </c>
      <c r="G11" s="2">
        <v>3.6</v>
      </c>
      <c r="H11" s="2">
        <v>4</v>
      </c>
      <c r="I11" s="2">
        <v>1</v>
      </c>
      <c r="J11" s="2" t="s">
        <v>7</v>
      </c>
      <c r="K11" s="2">
        <v>0</v>
      </c>
      <c r="L11">
        <f t="shared" si="0"/>
        <v>3.6</v>
      </c>
      <c r="M11" s="12">
        <f>AVERAGE(L11:L13)</f>
        <v>3.6</v>
      </c>
      <c r="N11" s="12">
        <f>ROUND(M11,1)</f>
        <v>3.6</v>
      </c>
    </row>
    <row r="12" spans="1:14">
      <c r="A12" s="23" t="s">
        <v>8</v>
      </c>
      <c r="B12" s="26" t="s">
        <v>12</v>
      </c>
      <c r="C12" s="2">
        <v>2</v>
      </c>
      <c r="D12" s="2">
        <v>0</v>
      </c>
      <c r="E12" s="2">
        <v>3.6</v>
      </c>
      <c r="F12" s="2">
        <v>3.6</v>
      </c>
      <c r="G12" s="2">
        <v>3.6</v>
      </c>
      <c r="H12" s="2">
        <v>4</v>
      </c>
      <c r="I12" s="2">
        <v>1</v>
      </c>
      <c r="J12" s="2" t="s">
        <v>7</v>
      </c>
      <c r="K12" s="2">
        <v>0</v>
      </c>
      <c r="L12">
        <f t="shared" si="0"/>
        <v>3.6</v>
      </c>
      <c r="M12" s="12"/>
    </row>
    <row r="13" spans="1:14">
      <c r="A13" s="23" t="s">
        <v>8</v>
      </c>
      <c r="B13" s="26" t="s">
        <v>12</v>
      </c>
      <c r="C13" s="2">
        <v>3</v>
      </c>
      <c r="D13" s="2">
        <v>0</v>
      </c>
      <c r="E13" s="2">
        <v>3.6</v>
      </c>
      <c r="F13" s="2">
        <v>3.6</v>
      </c>
      <c r="G13" s="2">
        <v>3.6</v>
      </c>
      <c r="H13" s="2">
        <v>4</v>
      </c>
      <c r="I13" s="2">
        <v>1</v>
      </c>
      <c r="J13" s="2" t="s">
        <v>7</v>
      </c>
      <c r="K13" s="2">
        <v>0</v>
      </c>
      <c r="L13">
        <f t="shared" si="0"/>
        <v>3.6</v>
      </c>
      <c r="M13" s="12"/>
    </row>
    <row r="14" spans="1:14">
      <c r="A14" s="23" t="s">
        <v>8</v>
      </c>
      <c r="B14" s="26" t="s">
        <v>13</v>
      </c>
      <c r="C14" s="2">
        <v>1</v>
      </c>
      <c r="D14" s="2">
        <v>0</v>
      </c>
      <c r="E14" s="2">
        <v>3.6</v>
      </c>
      <c r="F14" s="2">
        <v>3.6</v>
      </c>
      <c r="G14" s="2">
        <v>3.6</v>
      </c>
      <c r="H14" s="2">
        <v>4</v>
      </c>
      <c r="I14" s="2">
        <v>1</v>
      </c>
      <c r="J14" s="2" t="s">
        <v>7</v>
      </c>
      <c r="K14" s="2">
        <v>0</v>
      </c>
      <c r="L14">
        <f t="shared" si="0"/>
        <v>3.6</v>
      </c>
      <c r="M14" s="12">
        <f>AVERAGE(L14:L16)</f>
        <v>3.6</v>
      </c>
      <c r="N14" s="12">
        <f>ROUND(M14,1)</f>
        <v>3.6</v>
      </c>
    </row>
    <row r="15" spans="1:14">
      <c r="A15" s="23" t="s">
        <v>8</v>
      </c>
      <c r="B15" s="26" t="s">
        <v>13</v>
      </c>
      <c r="C15" s="2">
        <v>2</v>
      </c>
      <c r="D15" s="2">
        <v>0</v>
      </c>
      <c r="E15" s="2">
        <v>3.6</v>
      </c>
      <c r="F15" s="2">
        <v>3.6</v>
      </c>
      <c r="G15" s="2">
        <v>3.6</v>
      </c>
      <c r="H15" s="2">
        <v>4</v>
      </c>
      <c r="I15" s="2">
        <v>1</v>
      </c>
      <c r="J15" s="2" t="s">
        <v>7</v>
      </c>
      <c r="K15" s="2">
        <v>0</v>
      </c>
      <c r="L15">
        <f t="shared" si="0"/>
        <v>3.6</v>
      </c>
      <c r="M15" s="12"/>
    </row>
    <row r="16" spans="1:14">
      <c r="A16" s="23" t="s">
        <v>8</v>
      </c>
      <c r="B16" s="26" t="s">
        <v>13</v>
      </c>
      <c r="C16" s="2">
        <v>3</v>
      </c>
      <c r="D16" s="2">
        <v>0</v>
      </c>
      <c r="E16" s="2">
        <v>3.6</v>
      </c>
      <c r="F16" s="2">
        <v>3.6</v>
      </c>
      <c r="G16" s="2">
        <v>3.6</v>
      </c>
      <c r="H16" s="2">
        <v>4</v>
      </c>
      <c r="I16" s="2">
        <v>1</v>
      </c>
      <c r="J16" s="2" t="s">
        <v>7</v>
      </c>
      <c r="K16" s="2">
        <v>0</v>
      </c>
      <c r="L16">
        <f t="shared" si="0"/>
        <v>3.6</v>
      </c>
      <c r="M16" s="12"/>
    </row>
    <row r="17" spans="1:14">
      <c r="A17" s="23" t="s">
        <v>14</v>
      </c>
      <c r="B17" s="26" t="s">
        <v>2</v>
      </c>
      <c r="C17" s="2">
        <v>1</v>
      </c>
      <c r="D17" s="2">
        <v>1</v>
      </c>
      <c r="E17" s="2">
        <v>3.8</v>
      </c>
      <c r="F17" s="2">
        <v>3.8</v>
      </c>
      <c r="G17" s="2">
        <v>3.8</v>
      </c>
      <c r="H17" s="2">
        <v>17</v>
      </c>
      <c r="I17" s="2">
        <v>1</v>
      </c>
      <c r="J17" s="2" t="s">
        <v>7</v>
      </c>
      <c r="K17" s="10">
        <v>0</v>
      </c>
      <c r="L17">
        <f t="shared" si="0"/>
        <v>3.7999999999999994</v>
      </c>
      <c r="M17" s="12">
        <f>AVERAGE(L17:L19)</f>
        <v>3.7999999999999994</v>
      </c>
      <c r="N17" s="12">
        <f>ROUND(M17,1)</f>
        <v>3.8</v>
      </c>
    </row>
    <row r="18" spans="1:14">
      <c r="A18" s="23" t="s">
        <v>14</v>
      </c>
      <c r="B18" s="26" t="s">
        <v>2</v>
      </c>
      <c r="C18" s="2">
        <v>2</v>
      </c>
      <c r="D18" s="2">
        <v>1</v>
      </c>
      <c r="E18" s="2">
        <v>3.8</v>
      </c>
      <c r="F18" s="2">
        <v>3.8</v>
      </c>
      <c r="G18" s="2">
        <v>3.8</v>
      </c>
      <c r="H18" s="2">
        <v>17</v>
      </c>
      <c r="I18" s="2">
        <v>1</v>
      </c>
      <c r="J18" s="2" t="s">
        <v>7</v>
      </c>
      <c r="K18" s="10">
        <v>0</v>
      </c>
      <c r="L18">
        <f t="shared" si="0"/>
        <v>3.7999999999999994</v>
      </c>
      <c r="M18" s="12"/>
    </row>
    <row r="19" spans="1:14">
      <c r="A19" s="23" t="s">
        <v>14</v>
      </c>
      <c r="B19" s="26" t="s">
        <v>2</v>
      </c>
      <c r="C19" s="2">
        <v>3</v>
      </c>
      <c r="D19" s="2">
        <v>1</v>
      </c>
      <c r="E19" s="2">
        <v>3.8</v>
      </c>
      <c r="F19" s="2">
        <v>3.8</v>
      </c>
      <c r="G19" s="2">
        <v>3.8</v>
      </c>
      <c r="H19" s="2">
        <v>17</v>
      </c>
      <c r="I19" s="2">
        <v>1</v>
      </c>
      <c r="J19" s="2" t="s">
        <v>7</v>
      </c>
      <c r="K19" s="10">
        <v>0</v>
      </c>
      <c r="L19">
        <f t="shared" si="0"/>
        <v>3.7999999999999994</v>
      </c>
      <c r="M19" s="12"/>
    </row>
    <row r="20" spans="1:14">
      <c r="A20" s="23" t="s">
        <v>14</v>
      </c>
      <c r="B20" s="26" t="s">
        <v>10</v>
      </c>
      <c r="C20" s="2">
        <v>1</v>
      </c>
      <c r="D20" s="2">
        <v>0</v>
      </c>
      <c r="E20" s="2">
        <v>1</v>
      </c>
      <c r="F20" s="2">
        <v>1.2</v>
      </c>
      <c r="G20" s="2">
        <v>1.2</v>
      </c>
      <c r="H20" s="2">
        <v>17</v>
      </c>
      <c r="I20" s="2">
        <v>0</v>
      </c>
      <c r="J20" s="2" t="s">
        <v>7</v>
      </c>
      <c r="K20" s="10">
        <v>0</v>
      </c>
      <c r="L20" s="13">
        <f t="shared" si="0"/>
        <v>1.1333333333333335</v>
      </c>
      <c r="M20" s="12">
        <f>AVERAGE(L20)</f>
        <v>1.1333333333333335</v>
      </c>
      <c r="N20" s="12">
        <f>ROUND(M20,1)</f>
        <v>1.1000000000000001</v>
      </c>
    </row>
    <row r="21" spans="1:14">
      <c r="A21" s="24" t="s">
        <v>14</v>
      </c>
      <c r="B21" s="27" t="s">
        <v>10</v>
      </c>
      <c r="C21" s="8">
        <v>2</v>
      </c>
      <c r="D21" s="8">
        <v>0</v>
      </c>
      <c r="E21" s="8"/>
      <c r="F21" s="8"/>
      <c r="G21" s="8"/>
      <c r="H21" s="8">
        <v>17</v>
      </c>
      <c r="I21" s="8"/>
      <c r="J21" s="8" t="s">
        <v>7</v>
      </c>
      <c r="K21" s="8">
        <v>1</v>
      </c>
      <c r="M21" s="12"/>
    </row>
    <row r="22" spans="1:14">
      <c r="A22" s="24" t="s">
        <v>14</v>
      </c>
      <c r="B22" s="27" t="s">
        <v>10</v>
      </c>
      <c r="C22" s="8">
        <v>3</v>
      </c>
      <c r="D22" s="8">
        <v>0</v>
      </c>
      <c r="E22" s="8"/>
      <c r="F22" s="8"/>
      <c r="G22" s="8"/>
      <c r="H22" s="8">
        <v>17</v>
      </c>
      <c r="I22" s="8"/>
      <c r="J22" s="8" t="s">
        <v>7</v>
      </c>
      <c r="K22" s="8">
        <v>1</v>
      </c>
    </row>
    <row r="23" spans="1:14">
      <c r="A23" s="17" t="s">
        <v>14</v>
      </c>
      <c r="B23" s="28" t="s">
        <v>11</v>
      </c>
      <c r="C23" s="10">
        <v>1</v>
      </c>
      <c r="D23" s="10">
        <v>0</v>
      </c>
      <c r="E23" s="10">
        <v>1</v>
      </c>
      <c r="F23" s="10">
        <v>1</v>
      </c>
      <c r="G23" s="10">
        <v>1</v>
      </c>
      <c r="H23" s="10">
        <v>17</v>
      </c>
      <c r="I23" s="10">
        <v>0</v>
      </c>
      <c r="J23" s="10" t="s">
        <v>7</v>
      </c>
      <c r="K23" s="10">
        <v>0</v>
      </c>
      <c r="L23">
        <f t="shared" ref="L23:L29" si="1">AVERAGE(E23:G23)</f>
        <v>1</v>
      </c>
      <c r="M23" s="12">
        <f>AVERAGE(L23:L25)</f>
        <v>1.122222222222222</v>
      </c>
      <c r="N23" s="12">
        <f>ROUND(M23,1)</f>
        <v>1.1000000000000001</v>
      </c>
    </row>
    <row r="24" spans="1:14">
      <c r="A24" s="17" t="s">
        <v>14</v>
      </c>
      <c r="B24" s="28" t="s">
        <v>11</v>
      </c>
      <c r="C24" s="10">
        <v>2</v>
      </c>
      <c r="D24" s="10">
        <v>0</v>
      </c>
      <c r="E24" s="10">
        <v>1</v>
      </c>
      <c r="F24" s="10">
        <v>0.9</v>
      </c>
      <c r="G24" s="10">
        <v>1</v>
      </c>
      <c r="H24" s="10">
        <v>17</v>
      </c>
      <c r="I24" s="10">
        <v>0</v>
      </c>
      <c r="J24" s="10" t="s">
        <v>7</v>
      </c>
      <c r="K24" s="10">
        <v>0</v>
      </c>
      <c r="L24" s="13">
        <f t="shared" si="1"/>
        <v>0.96666666666666667</v>
      </c>
      <c r="M24" s="12"/>
    </row>
    <row r="25" spans="1:14">
      <c r="A25" s="17" t="s">
        <v>14</v>
      </c>
      <c r="B25" s="28" t="s">
        <v>11</v>
      </c>
      <c r="C25" s="10">
        <v>3</v>
      </c>
      <c r="D25" s="10">
        <v>0</v>
      </c>
      <c r="E25" s="10">
        <v>1.4</v>
      </c>
      <c r="F25" s="10">
        <v>1.4</v>
      </c>
      <c r="G25" s="10">
        <v>1.4</v>
      </c>
      <c r="H25" s="10">
        <v>17</v>
      </c>
      <c r="I25" s="10">
        <v>0</v>
      </c>
      <c r="J25" s="10" t="s">
        <v>7</v>
      </c>
      <c r="K25" s="10">
        <v>0</v>
      </c>
      <c r="L25" s="13">
        <f t="shared" si="1"/>
        <v>1.3999999999999997</v>
      </c>
      <c r="M25" s="12"/>
    </row>
    <row r="26" spans="1:14">
      <c r="A26" s="23" t="s">
        <v>14</v>
      </c>
      <c r="B26" s="26" t="s">
        <v>12</v>
      </c>
      <c r="C26" s="2">
        <v>4</v>
      </c>
      <c r="D26" s="2">
        <v>0</v>
      </c>
      <c r="E26" s="2">
        <v>0.8</v>
      </c>
      <c r="F26" s="2">
        <v>0.9</v>
      </c>
      <c r="G26" s="2">
        <v>0.9</v>
      </c>
      <c r="H26" s="2">
        <v>17</v>
      </c>
      <c r="I26" s="2">
        <v>0</v>
      </c>
      <c r="J26" s="2" t="s">
        <v>7</v>
      </c>
      <c r="K26" s="2">
        <v>0</v>
      </c>
      <c r="L26" s="13">
        <f t="shared" si="1"/>
        <v>0.8666666666666667</v>
      </c>
      <c r="M26" s="12">
        <f>AVERAGE(L26:L28)</f>
        <v>0.98888888888888893</v>
      </c>
      <c r="N26" s="12">
        <f>ROUND(M26,1)</f>
        <v>1</v>
      </c>
    </row>
    <row r="27" spans="1:14">
      <c r="A27" s="23" t="s">
        <v>14</v>
      </c>
      <c r="B27" s="26" t="s">
        <v>12</v>
      </c>
      <c r="C27" s="2">
        <v>1</v>
      </c>
      <c r="D27" s="2">
        <v>0</v>
      </c>
      <c r="E27" s="2">
        <v>1.1000000000000001</v>
      </c>
      <c r="F27" s="2">
        <v>1</v>
      </c>
      <c r="G27" s="2">
        <v>1.1000000000000001</v>
      </c>
      <c r="H27" s="2">
        <v>17</v>
      </c>
      <c r="I27" s="2">
        <v>0</v>
      </c>
      <c r="J27" s="2" t="s">
        <v>7</v>
      </c>
      <c r="K27" s="2">
        <v>0</v>
      </c>
      <c r="L27" s="13">
        <f t="shared" si="1"/>
        <v>1.0666666666666667</v>
      </c>
      <c r="M27" s="12"/>
    </row>
    <row r="28" spans="1:14">
      <c r="A28" s="17" t="s">
        <v>14</v>
      </c>
      <c r="B28" s="28" t="s">
        <v>12</v>
      </c>
      <c r="C28" s="10">
        <v>3</v>
      </c>
      <c r="D28" s="10">
        <v>0</v>
      </c>
      <c r="E28" s="10">
        <v>1</v>
      </c>
      <c r="F28" s="10">
        <v>1.1000000000000001</v>
      </c>
      <c r="G28" s="10">
        <v>1</v>
      </c>
      <c r="H28" s="10">
        <v>17</v>
      </c>
      <c r="I28" s="10">
        <v>0</v>
      </c>
      <c r="J28" s="10" t="s">
        <v>7</v>
      </c>
      <c r="K28" s="10">
        <v>0</v>
      </c>
      <c r="L28" s="13">
        <f t="shared" si="1"/>
        <v>1.0333333333333334</v>
      </c>
      <c r="M28" s="12"/>
    </row>
    <row r="29" spans="1:14">
      <c r="A29" s="17" t="s">
        <v>14</v>
      </c>
      <c r="B29" s="28" t="s">
        <v>13</v>
      </c>
      <c r="C29" s="10">
        <v>1</v>
      </c>
      <c r="D29" s="10">
        <v>0</v>
      </c>
      <c r="E29" s="10">
        <v>1</v>
      </c>
      <c r="F29" s="10">
        <v>1</v>
      </c>
      <c r="G29" s="10">
        <v>1.1000000000000001</v>
      </c>
      <c r="H29" s="10">
        <v>17</v>
      </c>
      <c r="I29" s="10">
        <v>0</v>
      </c>
      <c r="J29" s="10" t="s">
        <v>7</v>
      </c>
      <c r="K29" s="10">
        <v>0</v>
      </c>
      <c r="L29" s="13">
        <f t="shared" si="1"/>
        <v>1.0333333333333334</v>
      </c>
      <c r="M29" s="12">
        <f>AVERAGE(L29:L31)</f>
        <v>1.0666666666666667</v>
      </c>
      <c r="N29" s="12">
        <f>ROUND(M29,1)</f>
        <v>1.1000000000000001</v>
      </c>
    </row>
    <row r="30" spans="1:14">
      <c r="A30" s="24" t="s">
        <v>14</v>
      </c>
      <c r="B30" s="27" t="s">
        <v>13</v>
      </c>
      <c r="C30" s="8">
        <v>2</v>
      </c>
      <c r="D30" s="8">
        <v>0</v>
      </c>
      <c r="E30" s="8"/>
      <c r="F30" s="8"/>
      <c r="G30" s="8"/>
      <c r="H30" s="8">
        <v>17</v>
      </c>
      <c r="I30" s="8"/>
      <c r="J30" s="8" t="s">
        <v>7</v>
      </c>
      <c r="K30" s="8">
        <v>1</v>
      </c>
    </row>
    <row r="31" spans="1:14">
      <c r="A31" s="17" t="s">
        <v>14</v>
      </c>
      <c r="B31" s="28" t="s">
        <v>13</v>
      </c>
      <c r="C31" s="10">
        <v>3</v>
      </c>
      <c r="D31" s="10">
        <v>0</v>
      </c>
      <c r="E31" s="10">
        <v>1</v>
      </c>
      <c r="F31" s="10">
        <v>1.1000000000000001</v>
      </c>
      <c r="G31" s="10">
        <v>1.2</v>
      </c>
      <c r="H31" s="10">
        <v>17</v>
      </c>
      <c r="I31" s="10">
        <v>0</v>
      </c>
      <c r="J31" s="10" t="s">
        <v>7</v>
      </c>
      <c r="K31" s="10">
        <v>0</v>
      </c>
      <c r="L31">
        <f>AVERAGE(E31:G31)</f>
        <v>1.0999999999999999</v>
      </c>
      <c r="M31" s="12"/>
    </row>
    <row r="32" spans="1:14">
      <c r="A32" s="17" t="s">
        <v>15</v>
      </c>
      <c r="B32" s="28" t="s">
        <v>2</v>
      </c>
      <c r="C32" s="10">
        <v>1</v>
      </c>
      <c r="D32" s="10">
        <v>1</v>
      </c>
      <c r="E32" s="10">
        <v>3.8</v>
      </c>
      <c r="F32" s="10">
        <v>3.8</v>
      </c>
      <c r="G32" s="10">
        <v>3.8</v>
      </c>
      <c r="H32" s="10">
        <v>8</v>
      </c>
      <c r="I32" s="10">
        <v>1</v>
      </c>
      <c r="J32" s="10" t="s">
        <v>7</v>
      </c>
      <c r="K32" s="2">
        <v>0</v>
      </c>
      <c r="L32">
        <f>AVERAGE(E32:G32)</f>
        <v>3.7999999999999994</v>
      </c>
      <c r="M32" s="12">
        <f>AVERAGE(L32:L34)</f>
        <v>3.7999999999999994</v>
      </c>
      <c r="N32" s="12">
        <f>ROUND(M32,1)</f>
        <v>3.8</v>
      </c>
    </row>
    <row r="33" spans="1:14">
      <c r="A33" s="17" t="s">
        <v>15</v>
      </c>
      <c r="B33" s="28" t="s">
        <v>2</v>
      </c>
      <c r="C33" s="10">
        <v>2</v>
      </c>
      <c r="D33" s="10">
        <v>1</v>
      </c>
      <c r="E33" s="10">
        <v>3.8</v>
      </c>
      <c r="F33" s="10">
        <v>3.8</v>
      </c>
      <c r="G33" s="10">
        <v>3.8</v>
      </c>
      <c r="H33" s="10">
        <v>8</v>
      </c>
      <c r="I33" s="10">
        <v>1</v>
      </c>
      <c r="J33" s="10" t="s">
        <v>7</v>
      </c>
      <c r="K33" s="2">
        <v>0</v>
      </c>
      <c r="L33">
        <f>AVERAGE(E33:G33)</f>
        <v>3.7999999999999994</v>
      </c>
      <c r="M33" s="12"/>
    </row>
    <row r="34" spans="1:14">
      <c r="A34" s="17" t="s">
        <v>15</v>
      </c>
      <c r="B34" s="28" t="s">
        <v>2</v>
      </c>
      <c r="C34" s="10">
        <v>3</v>
      </c>
      <c r="D34" s="10">
        <v>1</v>
      </c>
      <c r="E34" s="10">
        <v>3.8</v>
      </c>
      <c r="F34" s="10">
        <v>3.8</v>
      </c>
      <c r="G34" s="10">
        <v>3.8</v>
      </c>
      <c r="H34" s="10">
        <v>8</v>
      </c>
      <c r="I34" s="10">
        <v>1</v>
      </c>
      <c r="J34" s="10" t="s">
        <v>7</v>
      </c>
      <c r="K34" s="2">
        <v>0</v>
      </c>
      <c r="L34">
        <f>AVERAGE(E34:G34)</f>
        <v>3.7999999999999994</v>
      </c>
      <c r="M34" s="12"/>
    </row>
    <row r="35" spans="1:14">
      <c r="A35" s="17" t="s">
        <v>15</v>
      </c>
      <c r="B35" s="28" t="s">
        <v>10</v>
      </c>
      <c r="C35" s="10">
        <v>1</v>
      </c>
      <c r="D35" s="10">
        <v>0</v>
      </c>
      <c r="E35" s="10">
        <v>0.3</v>
      </c>
      <c r="F35" s="10">
        <v>0.3</v>
      </c>
      <c r="G35" s="10">
        <v>0.3</v>
      </c>
      <c r="H35" s="10">
        <v>8</v>
      </c>
      <c r="I35" s="10">
        <v>0</v>
      </c>
      <c r="J35" s="10" t="s">
        <v>7</v>
      </c>
      <c r="K35" s="2">
        <v>0</v>
      </c>
      <c r="L35" s="13">
        <f>AVERAGE(E35:G35)</f>
        <v>0.3</v>
      </c>
      <c r="M35" s="12">
        <f>AVERAGE(L35)</f>
        <v>0.3</v>
      </c>
      <c r="N35" s="12">
        <f>ROUND(M35,1)</f>
        <v>0.3</v>
      </c>
    </row>
    <row r="36" spans="1:14">
      <c r="A36" s="24" t="s">
        <v>15</v>
      </c>
      <c r="B36" s="27" t="s">
        <v>10</v>
      </c>
      <c r="C36" s="8">
        <v>2</v>
      </c>
      <c r="D36" s="8">
        <v>0</v>
      </c>
      <c r="E36" s="8"/>
      <c r="F36" s="8"/>
      <c r="G36" s="8"/>
      <c r="H36" s="8">
        <v>8</v>
      </c>
      <c r="I36" s="8"/>
      <c r="J36" s="8" t="s">
        <v>7</v>
      </c>
      <c r="K36" s="8">
        <v>1</v>
      </c>
    </row>
    <row r="37" spans="1:14">
      <c r="A37" s="17" t="s">
        <v>15</v>
      </c>
      <c r="B37" s="28" t="s">
        <v>11</v>
      </c>
      <c r="C37" s="10">
        <v>1</v>
      </c>
      <c r="D37" s="10">
        <v>0</v>
      </c>
      <c r="E37" s="10">
        <v>0.3</v>
      </c>
      <c r="F37" s="10">
        <v>0.3</v>
      </c>
      <c r="G37" s="10">
        <v>0.3</v>
      </c>
      <c r="H37" s="10">
        <v>8</v>
      </c>
      <c r="I37" s="10">
        <v>0</v>
      </c>
      <c r="J37" s="10" t="s">
        <v>7</v>
      </c>
      <c r="K37" s="10">
        <v>0</v>
      </c>
      <c r="L37">
        <f>AVERAGE(E37:G37)</f>
        <v>0.3</v>
      </c>
      <c r="M37" s="12">
        <f>AVERAGE(L37:L39)</f>
        <v>0.3</v>
      </c>
      <c r="N37" s="12">
        <f>ROUND(M37,1)</f>
        <v>0.3</v>
      </c>
    </row>
    <row r="38" spans="1:14">
      <c r="A38" s="17" t="s">
        <v>15</v>
      </c>
      <c r="B38" s="28" t="s">
        <v>11</v>
      </c>
      <c r="C38" s="10">
        <v>2</v>
      </c>
      <c r="D38" s="10">
        <v>0</v>
      </c>
      <c r="E38" s="10">
        <v>0.3</v>
      </c>
      <c r="F38" s="10">
        <v>0.3</v>
      </c>
      <c r="G38" s="10">
        <v>0.3</v>
      </c>
      <c r="H38" s="10">
        <v>8</v>
      </c>
      <c r="I38" s="10">
        <v>0</v>
      </c>
      <c r="J38" s="10" t="s">
        <v>7</v>
      </c>
      <c r="K38" s="10">
        <v>0</v>
      </c>
      <c r="L38">
        <f t="shared" ref="L38:L41" si="2">AVERAGE(E38:G38)</f>
        <v>0.3</v>
      </c>
      <c r="M38" s="12"/>
    </row>
    <row r="39" spans="1:14">
      <c r="A39" s="17" t="s">
        <v>15</v>
      </c>
      <c r="B39" s="28" t="s">
        <v>11</v>
      </c>
      <c r="C39" s="10">
        <v>3</v>
      </c>
      <c r="D39" s="10">
        <v>0</v>
      </c>
      <c r="E39" s="10">
        <v>0.3</v>
      </c>
      <c r="F39" s="10">
        <v>0.3</v>
      </c>
      <c r="G39" s="10">
        <v>0.3</v>
      </c>
      <c r="H39" s="10">
        <v>8</v>
      </c>
      <c r="I39" s="10">
        <v>0</v>
      </c>
      <c r="J39" s="10" t="s">
        <v>7</v>
      </c>
      <c r="K39" s="10">
        <v>0</v>
      </c>
      <c r="L39">
        <f t="shared" si="2"/>
        <v>0.3</v>
      </c>
    </row>
    <row r="40" spans="1:14">
      <c r="A40" s="17" t="s">
        <v>15</v>
      </c>
      <c r="B40" s="28" t="s">
        <v>12</v>
      </c>
      <c r="C40" s="10">
        <v>1</v>
      </c>
      <c r="D40" s="10">
        <v>0</v>
      </c>
      <c r="E40" s="10">
        <v>0.4</v>
      </c>
      <c r="F40" s="10">
        <v>0.4</v>
      </c>
      <c r="G40" s="10">
        <v>0.4</v>
      </c>
      <c r="H40" s="10">
        <v>8</v>
      </c>
      <c r="I40" s="10">
        <v>0</v>
      </c>
      <c r="J40" s="10" t="s">
        <v>7</v>
      </c>
      <c r="K40" s="10">
        <v>0</v>
      </c>
      <c r="L40">
        <f t="shared" si="2"/>
        <v>0.40000000000000008</v>
      </c>
      <c r="M40" s="12">
        <f>AVERAGE(L40:L42)</f>
        <v>0.40000000000000008</v>
      </c>
      <c r="N40" s="12">
        <f>ROUND(M40,1)</f>
        <v>0.4</v>
      </c>
    </row>
    <row r="41" spans="1:14">
      <c r="A41" s="17" t="s">
        <v>15</v>
      </c>
      <c r="B41" s="28" t="s">
        <v>12</v>
      </c>
      <c r="C41" s="10">
        <v>2</v>
      </c>
      <c r="D41" s="10">
        <v>0</v>
      </c>
      <c r="E41" s="10">
        <v>0.4</v>
      </c>
      <c r="F41" s="10">
        <v>0.4</v>
      </c>
      <c r="G41" s="10">
        <v>0.4</v>
      </c>
      <c r="H41" s="10">
        <v>8</v>
      </c>
      <c r="I41" s="10">
        <v>0</v>
      </c>
      <c r="J41" s="10" t="s">
        <v>7</v>
      </c>
      <c r="K41" s="10">
        <v>0</v>
      </c>
      <c r="L41">
        <f t="shared" si="2"/>
        <v>0.40000000000000008</v>
      </c>
      <c r="M41" s="12"/>
    </row>
    <row r="42" spans="1:14">
      <c r="A42" s="17" t="s">
        <v>15</v>
      </c>
      <c r="B42" s="28" t="s">
        <v>12</v>
      </c>
      <c r="C42" s="10">
        <v>3</v>
      </c>
      <c r="D42" s="10">
        <v>0</v>
      </c>
      <c r="E42" s="10">
        <v>0.4</v>
      </c>
      <c r="F42" s="10">
        <v>0.4</v>
      </c>
      <c r="G42" s="10">
        <v>0.4</v>
      </c>
      <c r="H42" s="10">
        <v>8</v>
      </c>
      <c r="I42" s="10">
        <v>0</v>
      </c>
      <c r="J42" s="10" t="s">
        <v>7</v>
      </c>
      <c r="K42" s="2">
        <v>0</v>
      </c>
      <c r="L42" s="13">
        <f>AVERAGE(E42:G42)</f>
        <v>0.40000000000000008</v>
      </c>
      <c r="M42" s="12"/>
    </row>
    <row r="43" spans="1:14">
      <c r="A43" s="17" t="s">
        <v>15</v>
      </c>
      <c r="B43" s="28" t="s">
        <v>13</v>
      </c>
      <c r="C43" s="10">
        <v>1</v>
      </c>
      <c r="D43" s="10">
        <v>0</v>
      </c>
      <c r="E43" s="10">
        <v>0.4</v>
      </c>
      <c r="F43" s="10">
        <v>0.4</v>
      </c>
      <c r="G43" s="10">
        <v>0.4</v>
      </c>
      <c r="H43" s="10">
        <v>8</v>
      </c>
      <c r="I43" s="10">
        <v>0</v>
      </c>
      <c r="J43" s="10" t="s">
        <v>7</v>
      </c>
      <c r="K43" s="2">
        <v>0</v>
      </c>
      <c r="L43" s="13">
        <f>AVERAGE(E43:G43)</f>
        <v>0.40000000000000008</v>
      </c>
      <c r="M43" s="12">
        <f>AVERAGE(L43:L44)</f>
        <v>0.40000000000000008</v>
      </c>
      <c r="N43" s="12">
        <f>ROUND(M43,1)</f>
        <v>0.4</v>
      </c>
    </row>
    <row r="44" spans="1:14">
      <c r="A44" s="17" t="s">
        <v>15</v>
      </c>
      <c r="B44" s="28" t="s">
        <v>13</v>
      </c>
      <c r="C44" s="10">
        <v>2</v>
      </c>
      <c r="D44" s="10">
        <v>0</v>
      </c>
      <c r="E44" s="10">
        <v>0.4</v>
      </c>
      <c r="F44" s="10">
        <v>0.4</v>
      </c>
      <c r="G44" s="10">
        <v>0.4</v>
      </c>
      <c r="H44" s="10">
        <v>8</v>
      </c>
      <c r="I44" s="10">
        <v>0</v>
      </c>
      <c r="J44" s="10" t="s">
        <v>7</v>
      </c>
      <c r="K44" s="2">
        <v>0</v>
      </c>
      <c r="L44" s="13">
        <f>AVERAGE(E44:G44)</f>
        <v>0.40000000000000008</v>
      </c>
      <c r="M44" s="12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FA63-B178-454C-9A39-FD85534B200A}">
  <dimension ref="A1:E10"/>
  <sheetViews>
    <sheetView tabSelected="1" workbookViewId="0">
      <selection activeCell="F17" sqref="F17"/>
    </sheetView>
  </sheetViews>
  <sheetFormatPr baseColWidth="10" defaultRowHeight="14.25"/>
  <cols>
    <col min="2" max="2" width="14.875" bestFit="1" customWidth="1"/>
    <col min="3" max="3" width="9.375" bestFit="1" customWidth="1"/>
    <col min="4" max="4" width="19.875" bestFit="1" customWidth="1"/>
    <col min="5" max="5" width="2" bestFit="1" customWidth="1"/>
  </cols>
  <sheetData>
    <row r="1" spans="1:5" ht="15">
      <c r="A1" s="16" t="s">
        <v>0</v>
      </c>
      <c r="B1" s="16" t="s">
        <v>9</v>
      </c>
      <c r="C1" s="16" t="s">
        <v>24</v>
      </c>
      <c r="D1" s="16" t="s">
        <v>28</v>
      </c>
      <c r="E1" s="16" t="s">
        <v>20</v>
      </c>
    </row>
    <row r="2" spans="1:5">
      <c r="A2" s="17" t="s">
        <v>8</v>
      </c>
      <c r="B2" s="21" t="s">
        <v>25</v>
      </c>
      <c r="C2" s="18" t="s">
        <v>11</v>
      </c>
      <c r="D2" s="19">
        <f>(Summary!N8-Summary!N$2)/Summary!N$2*100</f>
        <v>0</v>
      </c>
      <c r="E2" s="20">
        <f>COUNT(Summary!L8:L10)</f>
        <v>3</v>
      </c>
    </row>
    <row r="3" spans="1:5">
      <c r="A3" s="17" t="s">
        <v>8</v>
      </c>
      <c r="B3" s="22" t="s">
        <v>26</v>
      </c>
      <c r="C3" s="18" t="s">
        <v>12</v>
      </c>
      <c r="D3" s="19">
        <f>(Summary!N11-Summary!N$2)/Summary!N$2*100</f>
        <v>0</v>
      </c>
      <c r="E3" s="20">
        <f>COUNT(Summary!L11:L13)</f>
        <v>3</v>
      </c>
    </row>
    <row r="4" spans="1:5">
      <c r="A4" s="17" t="s">
        <v>8</v>
      </c>
      <c r="B4" s="22" t="s">
        <v>27</v>
      </c>
      <c r="C4" s="18" t="s">
        <v>13</v>
      </c>
      <c r="D4" s="19">
        <f>(Summary!N14-Summary!N$2)/Summary!N$2*100</f>
        <v>0</v>
      </c>
      <c r="E4" s="20">
        <f>COUNT(Summary!L14:L16)</f>
        <v>3</v>
      </c>
    </row>
    <row r="5" spans="1:5">
      <c r="A5" s="17" t="s">
        <v>15</v>
      </c>
      <c r="B5" s="22" t="s">
        <v>25</v>
      </c>
      <c r="C5" s="18" t="s">
        <v>11</v>
      </c>
      <c r="D5" s="19">
        <f>(Summary!N37-Summary!N$32)/Summary!N$32*-100</f>
        <v>92.10526315789474</v>
      </c>
      <c r="E5" s="20">
        <f>COUNT(Summary!L37:L39)</f>
        <v>3</v>
      </c>
    </row>
    <row r="6" spans="1:5">
      <c r="A6" s="17" t="s">
        <v>15</v>
      </c>
      <c r="B6" s="22" t="s">
        <v>26</v>
      </c>
      <c r="C6" s="18" t="s">
        <v>12</v>
      </c>
      <c r="D6" s="19">
        <f>(Summary!N40-Summary!N$32)/Summary!N$32*-100</f>
        <v>89.473684210526315</v>
      </c>
      <c r="E6" s="20">
        <f>COUNT(Summary!L40:L42)</f>
        <v>3</v>
      </c>
    </row>
    <row r="7" spans="1:5">
      <c r="A7" s="17" t="s">
        <v>15</v>
      </c>
      <c r="B7" s="22" t="s">
        <v>27</v>
      </c>
      <c r="C7" s="18" t="s">
        <v>13</v>
      </c>
      <c r="D7" s="19">
        <f>(Summary!N43-Summary!N$32)/Summary!N$32*-100</f>
        <v>89.473684210526315</v>
      </c>
      <c r="E7" s="20">
        <f>COUNT(Summary!L43:L44)</f>
        <v>2</v>
      </c>
    </row>
    <row r="8" spans="1:5">
      <c r="A8" s="17" t="s">
        <v>14</v>
      </c>
      <c r="B8" s="22" t="s">
        <v>25</v>
      </c>
      <c r="C8" s="18" t="s">
        <v>11</v>
      </c>
      <c r="D8" s="19">
        <f>(Summary!N23-Summary!N$17)/Summary!N$17*-100</f>
        <v>71.05263157894737</v>
      </c>
      <c r="E8" s="20">
        <f>COUNT(Summary!L22:L25)</f>
        <v>3</v>
      </c>
    </row>
    <row r="9" spans="1:5">
      <c r="A9" s="17" t="s">
        <v>14</v>
      </c>
      <c r="B9" s="31" t="s">
        <v>26</v>
      </c>
      <c r="C9" s="18" t="s">
        <v>12</v>
      </c>
      <c r="D9" s="32">
        <f>(Summary!N26-Summary!N$17)/Summary!N$17*-100</f>
        <v>73.68421052631578</v>
      </c>
      <c r="E9" s="18">
        <f>COUNT(Summary!L26:L28)</f>
        <v>3</v>
      </c>
    </row>
    <row r="10" spans="1:5">
      <c r="A10" s="17" t="s">
        <v>14</v>
      </c>
      <c r="B10" s="22" t="s">
        <v>27</v>
      </c>
      <c r="C10" s="18" t="s">
        <v>13</v>
      </c>
      <c r="D10" s="19">
        <f>(Summary!N29-Summary!N$17)/Summary!N$17*-100</f>
        <v>71.05263157894737</v>
      </c>
      <c r="E10" s="20">
        <f>COUNT(Summary!L29:L31)</f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4_dpi</vt:lpstr>
      <vt:lpstr>8_dpi</vt:lpstr>
      <vt:lpstr>17_dpi</vt:lpstr>
      <vt:lpstr>Summary</vt:lpstr>
      <vt:lpstr>TableS5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Maier, Julian</dc:creator>
  <cp:lastModifiedBy>Maier, Julian</cp:lastModifiedBy>
  <cp:lastPrinted>2025-11-06T09:04:56Z</cp:lastPrinted>
  <dcterms:created xsi:type="dcterms:W3CDTF">2025-10-24T08:03:25Z</dcterms:created>
  <dcterms:modified xsi:type="dcterms:W3CDTF">2026-08-19T12:26:39Z</dcterms:modified>
</cp:coreProperties>
</file>